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Setup" sheetId="2" state="visible" r:id="rId2"/>
    <sheet xmlns:r="http://schemas.openxmlformats.org/officeDocument/2006/relationships" name="Jan" sheetId="3" state="visible" r:id="rId3"/>
    <sheet xmlns:r="http://schemas.openxmlformats.org/officeDocument/2006/relationships" name="Feb" sheetId="4" state="visible" r:id="rId4"/>
    <sheet xmlns:r="http://schemas.openxmlformats.org/officeDocument/2006/relationships" name="Mar" sheetId="5" state="visible" r:id="rId5"/>
    <sheet xmlns:r="http://schemas.openxmlformats.org/officeDocument/2006/relationships" name="Apr" sheetId="6" state="visible" r:id="rId6"/>
    <sheet xmlns:r="http://schemas.openxmlformats.org/officeDocument/2006/relationships" name="May" sheetId="7" state="visible" r:id="rId7"/>
    <sheet xmlns:r="http://schemas.openxmlformats.org/officeDocument/2006/relationships" name="Jun" sheetId="8" state="visible" r:id="rId8"/>
    <sheet xmlns:r="http://schemas.openxmlformats.org/officeDocument/2006/relationships" name="Jul" sheetId="9" state="visible" r:id="rId9"/>
    <sheet xmlns:r="http://schemas.openxmlformats.org/officeDocument/2006/relationships" name="Aug" sheetId="10" state="visible" r:id="rId10"/>
    <sheet xmlns:r="http://schemas.openxmlformats.org/officeDocument/2006/relationships" name="Sep" sheetId="11" state="visible" r:id="rId11"/>
    <sheet xmlns:r="http://schemas.openxmlformats.org/officeDocument/2006/relationships" name="Oct" sheetId="12" state="visible" r:id="rId12"/>
    <sheet xmlns:r="http://schemas.openxmlformats.org/officeDocument/2006/relationships" name="Nov" sheetId="13" state="visible" r:id="rId13"/>
    <sheet xmlns:r="http://schemas.openxmlformats.org/officeDocument/2006/relationships" name="Dec" sheetId="14" state="visible" r:id="rId1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1F4E79"/>
      <sz val="16"/>
    </font>
    <font>
      <color rgb="000000FF"/>
    </font>
    <font>
      <b val="1"/>
    </font>
    <font>
      <b val="1"/>
      <color rgb="00FFFFFF"/>
    </font>
    <font>
      <color rgb="00000000"/>
    </font>
    <font>
      <b val="1"/>
      <color rgb="001F4E79"/>
      <sz val="14"/>
    </font>
    <font>
      <b val="1"/>
      <color rgb="001F4E79"/>
      <sz val="9"/>
    </font>
    <font>
      <b val="1"/>
      <color rgb="00FFFFFF"/>
      <sz val="9"/>
    </font>
    <font>
      <b val="1"/>
      <color rgb="001F4E79"/>
    </font>
    <font>
      <b val="1"/>
      <color rgb="001F4E79"/>
      <sz val="12"/>
    </font>
    <font>
      <b val="1"/>
      <color rgb="001F4E79"/>
      <sz val="18"/>
    </font>
    <font>
      <b val="1"/>
      <color rgb="00FFFFFF"/>
      <sz val="16"/>
    </font>
  </fonts>
  <fills count="5">
    <fill>
      <patternFill/>
    </fill>
    <fill>
      <patternFill patternType="gray125"/>
    </fill>
    <fill>
      <patternFill patternType="solid">
        <fgColor rgb="001F4E79"/>
      </patternFill>
    </fill>
    <fill>
      <patternFill patternType="solid">
        <fgColor rgb="00D9E1F2"/>
      </patternFill>
    </fill>
    <fill>
      <patternFill patternType="solid">
        <fgColor rgb="002F75B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1" fillId="0" borderId="0" pivotButton="0" quotePrefix="0" xfId="0"/>
    <xf numFmtId="0" fontId="4" fillId="2" borderId="0" applyAlignment="1" pivotButton="0" quotePrefix="0" xfId="0">
      <alignment horizontal="center" vertical="center" wrapText="1"/>
    </xf>
    <xf numFmtId="0" fontId="12" fillId="4" borderId="0" applyAlignment="1" pivotButton="0" quotePrefix="0" xfId="0">
      <alignment horizontal="center" vertical="center" wrapText="1"/>
    </xf>
    <xf numFmtId="0" fontId="4" fillId="2" borderId="1" applyAlignment="1" pivotButton="0" quotePrefix="0" xfId="0">
      <alignment horizontal="center" vertical="center" wrapText="1"/>
    </xf>
    <xf numFmtId="0" fontId="0" fillId="0" borderId="1" applyAlignment="1" pivotButton="0" quotePrefix="0" xfId="0">
      <alignment horizontal="center" vertical="center" wrapText="1"/>
    </xf>
    <xf numFmtId="9" fontId="0" fillId="0" borderId="1" applyAlignment="1" pivotButton="0" quotePrefix="0" xfId="0">
      <alignment horizontal="center" vertical="center" wrapText="1"/>
    </xf>
    <xf numFmtId="0" fontId="1" fillId="0" borderId="0" pivotButton="0" quotePrefix="0" xfId="0"/>
    <xf numFmtId="0" fontId="3" fillId="0" borderId="0" applyAlignment="1" pivotButton="0" quotePrefix="0" xfId="0">
      <alignment horizontal="left" vertical="center" wrapText="1"/>
    </xf>
    <xf numFmtId="0" fontId="2" fillId="0" borderId="0" pivotButton="0" quotePrefix="0" xfId="0"/>
    <xf numFmtId="0" fontId="3" fillId="0" borderId="0" pivotButton="0" quotePrefix="0" xfId="0"/>
    <xf numFmtId="0" fontId="0" fillId="0" borderId="0" applyAlignment="1" pivotButton="0" quotePrefix="0" xfId="0">
      <alignment horizontal="left"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xf>
    <xf numFmtId="0" fontId="4" fillId="2" borderId="1" applyAlignment="1" pivotButton="0" quotePrefix="0" xfId="0">
      <alignment horizontal="center" vertical="center"/>
    </xf>
    <xf numFmtId="0" fontId="8"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2" fillId="0" borderId="1" applyAlignment="1" pivotButton="0" quotePrefix="0" xfId="0">
      <alignment horizontal="center" vertical="center"/>
    </xf>
    <xf numFmtId="0" fontId="9" fillId="0" borderId="1" applyAlignment="1" pivotButton="0" quotePrefix="0" xfId="0">
      <alignment horizontal="center" vertical="center"/>
    </xf>
    <xf numFmtId="0" fontId="10" fillId="0" borderId="0" pivotButton="0" quotePrefix="0" xfId="0"/>
    <xf numFmtId="0" fontId="9" fillId="0" borderId="0" pivotButton="0" quotePrefix="0" xfId="0"/>
    <xf numFmtId="0" fontId="9" fillId="0" borderId="0" applyAlignment="1" pivotButton="0" quotePrefix="0" xfId="0">
      <alignment horizontal="center" vertical="center"/>
    </xf>
    <xf numFmtId="9" fontId="0" fillId="0" borderId="1" applyAlignment="1" pivotButton="0" quotePrefix="0" xfId="0">
      <alignment horizontal="center" vertical="center"/>
    </xf>
    <xf numFmtId="9" fontId="9" fillId="0" borderId="0" applyAlignment="1" pivotButton="0" quotePrefix="0" xfId="0">
      <alignment horizontal="center" vertical="center"/>
    </xf>
  </cellXfs>
  <cellStyles count="1">
    <cellStyle name="Normal" xfId="0" builtinId="0" hidden="0"/>
  </cellStyles>
  <dxfs count="2">
    <dxf>
      <fill>
        <patternFill patternType="solid">
          <fgColor rgb="00C6EFCE"/>
        </patternFill>
      </fill>
    </dxf>
    <dxf>
      <fill>
        <patternFill patternType="solid">
          <f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Monthly Net Score</a:t>
            </a:r>
          </a:p>
        </rich>
      </tx>
    </title>
    <plotArea>
      <barChart>
        <barDir val="col"/>
        <grouping val="clustered"/>
        <ser>
          <idx val="0"/>
          <order val="0"/>
          <tx>
            <strRef>
              <f>'Dashboard'!D10</f>
            </strRef>
          </tx>
          <spPr>
            <a:ln xmlns:a="http://schemas.openxmlformats.org/drawingml/2006/main">
              <a:prstDash val="solid"/>
            </a:ln>
          </spPr>
          <cat>
            <numRef>
              <f>'Dashboard'!$A$11:$A$22</f>
            </numRef>
          </cat>
          <val>
            <numRef>
              <f>'Dashboard'!$D$11:$D$22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Points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Score</a:t>
            </a:r>
          </a:p>
        </rich>
      </tx>
    </title>
    <plotArea>
      <lineChart>
        <grouping val="standard"/>
        <ser>
          <idx val="0"/>
          <order val="0"/>
          <tx>
            <strRef>
              <f>'Dashboard'!G10</f>
            </strRef>
          </tx>
          <spPr>
            <a:ln xmlns:a="http://schemas.openxmlformats.org/drawingml/2006/main">
              <a:prstDash val="solid"/>
            </a:ln>
          </spPr>
          <marker>
            <symbol val="none"/>
            <spPr>
              <a:ln xmlns:a="http://schemas.openxmlformats.org/drawingml/2006/main">
                <a:prstDash val="solid"/>
              </a:ln>
            </spPr>
          </marker>
          <cat>
            <numRef>
              <f>'Dashboard'!$A$11:$A$22</f>
            </numRef>
          </cat>
          <val>
            <numRef>
              <f>'Dashboard'!$G$11:$G$22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Points</a:t>
                </a:r>
              </a:p>
            </rich>
          </tx>
        </title>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Good vs Bad (Monthly Counts)</a:t>
            </a:r>
          </a:p>
        </rich>
      </tx>
    </title>
    <plotArea>
      <barChart>
        <barDir val="col"/>
        <grouping val="stacked"/>
        <ser>
          <idx val="0"/>
          <order val="0"/>
          <tx>
            <strRef>
              <f>'Dashboard'!B10</f>
            </strRef>
          </tx>
          <spPr>
            <a:ln xmlns:a="http://schemas.openxmlformats.org/drawingml/2006/main">
              <a:prstDash val="solid"/>
            </a:ln>
          </spPr>
          <cat>
            <numRef>
              <f>'Dashboard'!$A$11:$A$22</f>
            </numRef>
          </cat>
          <val>
            <numRef>
              <f>'Dashboard'!$B$11:$B$22</f>
            </numRef>
          </val>
        </ser>
        <ser>
          <idx val="1"/>
          <order val="1"/>
          <tx>
            <strRef>
              <f>'Dashboard'!C10</f>
            </strRef>
          </tx>
          <spPr>
            <a:ln xmlns:a="http://schemas.openxmlformats.org/drawingml/2006/main">
              <a:prstDash val="solid"/>
            </a:ln>
          </spPr>
          <cat>
            <numRef>
              <f>'Dashboard'!$A$11:$A$22</f>
            </numRef>
          </cat>
          <val>
            <numRef>
              <f>'Dashboard'!$C$11:$C$22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Daily Net Score</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'Jan'!$E$6:$AI$6</f>
            </numRef>
          </cat>
          <val>
            <numRef>
              <f>'Jan'!$E$32</f>
            </numRef>
          </val>
        </ser>
        <ser>
          <idx val="1"/>
          <order val="1"/>
          <spPr>
            <a:ln xmlns:a="http://schemas.openxmlformats.org/drawingml/2006/main">
              <a:prstDash val="solid"/>
            </a:ln>
          </spPr>
          <marker>
            <symbol val="none"/>
            <spPr>
              <a:ln xmlns:a="http://schemas.openxmlformats.org/drawingml/2006/main">
                <a:prstDash val="solid"/>
              </a:ln>
            </spPr>
          </marker>
          <cat>
            <numRef>
              <f>'Jan'!$E$6:$AI$6</f>
            </numRef>
          </cat>
          <val>
            <numRef>
              <f>'Jan'!$F$32</f>
            </numRef>
          </val>
        </ser>
        <ser>
          <idx val="2"/>
          <order val="2"/>
          <spPr>
            <a:ln xmlns:a="http://schemas.openxmlformats.org/drawingml/2006/main">
              <a:prstDash val="solid"/>
            </a:ln>
          </spPr>
          <marker>
            <symbol val="none"/>
            <spPr>
              <a:ln xmlns:a="http://schemas.openxmlformats.org/drawingml/2006/main">
                <a:prstDash val="solid"/>
              </a:ln>
            </spPr>
          </marker>
          <cat>
            <numRef>
              <f>'Jan'!$E$6:$AI$6</f>
            </numRef>
          </cat>
          <val>
            <numRef>
              <f>'Jan'!$G$32</f>
            </numRef>
          </val>
        </ser>
        <ser>
          <idx val="3"/>
          <order val="3"/>
          <spPr>
            <a:ln xmlns:a="http://schemas.openxmlformats.org/drawingml/2006/main">
              <a:prstDash val="solid"/>
            </a:ln>
          </spPr>
          <marker>
            <symbol val="none"/>
            <spPr>
              <a:ln xmlns:a="http://schemas.openxmlformats.org/drawingml/2006/main">
                <a:prstDash val="solid"/>
              </a:ln>
            </spPr>
          </marker>
          <cat>
            <numRef>
              <f>'Jan'!$E$6:$AI$6</f>
            </numRef>
          </cat>
          <val>
            <numRef>
              <f>'Jan'!$H$32</f>
            </numRef>
          </val>
        </ser>
        <ser>
          <idx val="4"/>
          <order val="4"/>
          <spPr>
            <a:ln xmlns:a="http://schemas.openxmlformats.org/drawingml/2006/main">
              <a:prstDash val="solid"/>
            </a:ln>
          </spPr>
          <marker>
            <symbol val="none"/>
            <spPr>
              <a:ln xmlns:a="http://schemas.openxmlformats.org/drawingml/2006/main">
                <a:prstDash val="solid"/>
              </a:ln>
            </spPr>
          </marker>
          <cat>
            <numRef>
              <f>'Jan'!$E$6:$AI$6</f>
            </numRef>
          </cat>
          <val>
            <numRef>
              <f>'Jan'!$I$32</f>
            </numRef>
          </val>
        </ser>
        <ser>
          <idx val="5"/>
          <order val="5"/>
          <spPr>
            <a:ln xmlns:a="http://schemas.openxmlformats.org/drawingml/2006/main">
              <a:prstDash val="solid"/>
            </a:ln>
          </spPr>
          <marker>
            <symbol val="none"/>
            <spPr>
              <a:ln xmlns:a="http://schemas.openxmlformats.org/drawingml/2006/main">
                <a:prstDash val="solid"/>
              </a:ln>
            </spPr>
          </marker>
          <cat>
            <numRef>
              <f>'Jan'!$E$6:$AI$6</f>
            </numRef>
          </cat>
          <val>
            <numRef>
              <f>'Jan'!$J$32</f>
            </numRef>
          </val>
        </ser>
        <ser>
          <idx val="6"/>
          <order val="6"/>
          <spPr>
            <a:ln xmlns:a="http://schemas.openxmlformats.org/drawingml/2006/main">
              <a:prstDash val="solid"/>
            </a:ln>
          </spPr>
          <marker>
            <symbol val="none"/>
            <spPr>
              <a:ln xmlns:a="http://schemas.openxmlformats.org/drawingml/2006/main">
                <a:prstDash val="solid"/>
              </a:ln>
            </spPr>
          </marker>
          <cat>
            <numRef>
              <f>'Jan'!$E$6:$AI$6</f>
            </numRef>
          </cat>
          <val>
            <numRef>
              <f>'Jan'!$K$32</f>
            </numRef>
          </val>
        </ser>
        <ser>
          <idx val="7"/>
          <order val="7"/>
          <spPr>
            <a:ln xmlns:a="http://schemas.openxmlformats.org/drawingml/2006/main">
              <a:prstDash val="solid"/>
            </a:ln>
          </spPr>
          <marker>
            <symbol val="none"/>
            <spPr>
              <a:ln xmlns:a="http://schemas.openxmlformats.org/drawingml/2006/main">
                <a:prstDash val="solid"/>
              </a:ln>
            </spPr>
          </marker>
          <cat>
            <numRef>
              <f>'Jan'!$E$6:$AI$6</f>
            </numRef>
          </cat>
          <val>
            <numRef>
              <f>'Jan'!$L$32</f>
            </numRef>
          </val>
        </ser>
        <ser>
          <idx val="8"/>
          <order val="8"/>
          <spPr>
            <a:ln xmlns:a="http://schemas.openxmlformats.org/drawingml/2006/main">
              <a:prstDash val="solid"/>
            </a:ln>
          </spPr>
          <marker>
            <symbol val="none"/>
            <spPr>
              <a:ln xmlns:a="http://schemas.openxmlformats.org/drawingml/2006/main">
                <a:prstDash val="solid"/>
              </a:ln>
            </spPr>
          </marker>
          <cat>
            <numRef>
              <f>'Jan'!$E$6:$AI$6</f>
            </numRef>
          </cat>
          <val>
            <numRef>
              <f>'Jan'!$M$32</f>
            </numRef>
          </val>
        </ser>
        <ser>
          <idx val="9"/>
          <order val="9"/>
          <spPr>
            <a:ln xmlns:a="http://schemas.openxmlformats.org/drawingml/2006/main">
              <a:prstDash val="solid"/>
            </a:ln>
          </spPr>
          <marker>
            <symbol val="none"/>
            <spPr>
              <a:ln xmlns:a="http://schemas.openxmlformats.org/drawingml/2006/main">
                <a:prstDash val="solid"/>
              </a:ln>
            </spPr>
          </marker>
          <cat>
            <numRef>
              <f>'Jan'!$E$6:$AI$6</f>
            </numRef>
          </cat>
          <val>
            <numRef>
              <f>'Jan'!$N$32</f>
            </numRef>
          </val>
        </ser>
        <ser>
          <idx val="10"/>
          <order val="10"/>
          <spPr>
            <a:ln xmlns:a="http://schemas.openxmlformats.org/drawingml/2006/main">
              <a:prstDash val="solid"/>
            </a:ln>
          </spPr>
          <marker>
            <symbol val="none"/>
            <spPr>
              <a:ln xmlns:a="http://schemas.openxmlformats.org/drawingml/2006/main">
                <a:prstDash val="solid"/>
              </a:ln>
            </spPr>
          </marker>
          <cat>
            <numRef>
              <f>'Jan'!$E$6:$AI$6</f>
            </numRef>
          </cat>
          <val>
            <numRef>
              <f>'Jan'!$O$32</f>
            </numRef>
          </val>
        </ser>
        <ser>
          <idx val="11"/>
          <order val="11"/>
          <spPr>
            <a:ln xmlns:a="http://schemas.openxmlformats.org/drawingml/2006/main">
              <a:prstDash val="solid"/>
            </a:ln>
          </spPr>
          <marker>
            <symbol val="none"/>
            <spPr>
              <a:ln xmlns:a="http://schemas.openxmlformats.org/drawingml/2006/main">
                <a:prstDash val="solid"/>
              </a:ln>
            </spPr>
          </marker>
          <cat>
            <numRef>
              <f>'Jan'!$E$6:$AI$6</f>
            </numRef>
          </cat>
          <val>
            <numRef>
              <f>'Jan'!$P$32</f>
            </numRef>
          </val>
        </ser>
        <ser>
          <idx val="12"/>
          <order val="12"/>
          <spPr>
            <a:ln xmlns:a="http://schemas.openxmlformats.org/drawingml/2006/main">
              <a:prstDash val="solid"/>
            </a:ln>
          </spPr>
          <marker>
            <symbol val="none"/>
            <spPr>
              <a:ln xmlns:a="http://schemas.openxmlformats.org/drawingml/2006/main">
                <a:prstDash val="solid"/>
              </a:ln>
            </spPr>
          </marker>
          <cat>
            <numRef>
              <f>'Jan'!$E$6:$AI$6</f>
            </numRef>
          </cat>
          <val>
            <numRef>
              <f>'Jan'!$Q$32</f>
            </numRef>
          </val>
        </ser>
        <ser>
          <idx val="13"/>
          <order val="13"/>
          <spPr>
            <a:ln xmlns:a="http://schemas.openxmlformats.org/drawingml/2006/main">
              <a:prstDash val="solid"/>
            </a:ln>
          </spPr>
          <marker>
            <symbol val="none"/>
            <spPr>
              <a:ln xmlns:a="http://schemas.openxmlformats.org/drawingml/2006/main">
                <a:prstDash val="solid"/>
              </a:ln>
            </spPr>
          </marker>
          <cat>
            <numRef>
              <f>'Jan'!$E$6:$AI$6</f>
            </numRef>
          </cat>
          <val>
            <numRef>
              <f>'Jan'!$R$32</f>
            </numRef>
          </val>
        </ser>
        <ser>
          <idx val="14"/>
          <order val="14"/>
          <spPr>
            <a:ln xmlns:a="http://schemas.openxmlformats.org/drawingml/2006/main">
              <a:prstDash val="solid"/>
            </a:ln>
          </spPr>
          <marker>
            <symbol val="none"/>
            <spPr>
              <a:ln xmlns:a="http://schemas.openxmlformats.org/drawingml/2006/main">
                <a:prstDash val="solid"/>
              </a:ln>
            </spPr>
          </marker>
          <cat>
            <numRef>
              <f>'Jan'!$E$6:$AI$6</f>
            </numRef>
          </cat>
          <val>
            <numRef>
              <f>'Jan'!$S$32</f>
            </numRef>
          </val>
        </ser>
        <ser>
          <idx val="15"/>
          <order val="15"/>
          <spPr>
            <a:ln xmlns:a="http://schemas.openxmlformats.org/drawingml/2006/main">
              <a:prstDash val="solid"/>
            </a:ln>
          </spPr>
          <marker>
            <symbol val="none"/>
            <spPr>
              <a:ln xmlns:a="http://schemas.openxmlformats.org/drawingml/2006/main">
                <a:prstDash val="solid"/>
              </a:ln>
            </spPr>
          </marker>
          <cat>
            <numRef>
              <f>'Jan'!$E$6:$AI$6</f>
            </numRef>
          </cat>
          <val>
            <numRef>
              <f>'Jan'!$T$32</f>
            </numRef>
          </val>
        </ser>
        <ser>
          <idx val="16"/>
          <order val="16"/>
          <spPr>
            <a:ln xmlns:a="http://schemas.openxmlformats.org/drawingml/2006/main">
              <a:prstDash val="solid"/>
            </a:ln>
          </spPr>
          <marker>
            <symbol val="none"/>
            <spPr>
              <a:ln xmlns:a="http://schemas.openxmlformats.org/drawingml/2006/main">
                <a:prstDash val="solid"/>
              </a:ln>
            </spPr>
          </marker>
          <cat>
            <numRef>
              <f>'Jan'!$E$6:$AI$6</f>
            </numRef>
          </cat>
          <val>
            <numRef>
              <f>'Jan'!$U$32</f>
            </numRef>
          </val>
        </ser>
        <ser>
          <idx val="17"/>
          <order val="17"/>
          <spPr>
            <a:ln xmlns:a="http://schemas.openxmlformats.org/drawingml/2006/main">
              <a:prstDash val="solid"/>
            </a:ln>
          </spPr>
          <marker>
            <symbol val="none"/>
            <spPr>
              <a:ln xmlns:a="http://schemas.openxmlformats.org/drawingml/2006/main">
                <a:prstDash val="solid"/>
              </a:ln>
            </spPr>
          </marker>
          <cat>
            <numRef>
              <f>'Jan'!$E$6:$AI$6</f>
            </numRef>
          </cat>
          <val>
            <numRef>
              <f>'Jan'!$V$32</f>
            </numRef>
          </val>
        </ser>
        <ser>
          <idx val="18"/>
          <order val="18"/>
          <spPr>
            <a:ln xmlns:a="http://schemas.openxmlformats.org/drawingml/2006/main">
              <a:prstDash val="solid"/>
            </a:ln>
          </spPr>
          <marker>
            <symbol val="none"/>
            <spPr>
              <a:ln xmlns:a="http://schemas.openxmlformats.org/drawingml/2006/main">
                <a:prstDash val="solid"/>
              </a:ln>
            </spPr>
          </marker>
          <cat>
            <numRef>
              <f>'Jan'!$E$6:$AI$6</f>
            </numRef>
          </cat>
          <val>
            <numRef>
              <f>'Jan'!$W$32</f>
            </numRef>
          </val>
        </ser>
        <ser>
          <idx val="19"/>
          <order val="19"/>
          <spPr>
            <a:ln xmlns:a="http://schemas.openxmlformats.org/drawingml/2006/main">
              <a:prstDash val="solid"/>
            </a:ln>
          </spPr>
          <marker>
            <symbol val="none"/>
            <spPr>
              <a:ln xmlns:a="http://schemas.openxmlformats.org/drawingml/2006/main">
                <a:prstDash val="solid"/>
              </a:ln>
            </spPr>
          </marker>
          <cat>
            <numRef>
              <f>'Jan'!$E$6:$AI$6</f>
            </numRef>
          </cat>
          <val>
            <numRef>
              <f>'Jan'!$X$32</f>
            </numRef>
          </val>
        </ser>
        <ser>
          <idx val="20"/>
          <order val="20"/>
          <spPr>
            <a:ln xmlns:a="http://schemas.openxmlformats.org/drawingml/2006/main">
              <a:prstDash val="solid"/>
            </a:ln>
          </spPr>
          <marker>
            <symbol val="none"/>
            <spPr>
              <a:ln xmlns:a="http://schemas.openxmlformats.org/drawingml/2006/main">
                <a:prstDash val="solid"/>
              </a:ln>
            </spPr>
          </marker>
          <cat>
            <numRef>
              <f>'Jan'!$E$6:$AI$6</f>
            </numRef>
          </cat>
          <val>
            <numRef>
              <f>'Jan'!$Y$32</f>
            </numRef>
          </val>
        </ser>
        <ser>
          <idx val="21"/>
          <order val="21"/>
          <spPr>
            <a:ln xmlns:a="http://schemas.openxmlformats.org/drawingml/2006/main">
              <a:prstDash val="solid"/>
            </a:ln>
          </spPr>
          <marker>
            <symbol val="none"/>
            <spPr>
              <a:ln xmlns:a="http://schemas.openxmlformats.org/drawingml/2006/main">
                <a:prstDash val="solid"/>
              </a:ln>
            </spPr>
          </marker>
          <cat>
            <numRef>
              <f>'Jan'!$E$6:$AI$6</f>
            </numRef>
          </cat>
          <val>
            <numRef>
              <f>'Jan'!$Z$32</f>
            </numRef>
          </val>
        </ser>
        <ser>
          <idx val="22"/>
          <order val="22"/>
          <spPr>
            <a:ln xmlns:a="http://schemas.openxmlformats.org/drawingml/2006/main">
              <a:prstDash val="solid"/>
            </a:ln>
          </spPr>
          <marker>
            <symbol val="none"/>
            <spPr>
              <a:ln xmlns:a="http://schemas.openxmlformats.org/drawingml/2006/main">
                <a:prstDash val="solid"/>
              </a:ln>
            </spPr>
          </marker>
          <cat>
            <numRef>
              <f>'Jan'!$E$6:$AI$6</f>
            </numRef>
          </cat>
          <val>
            <numRef>
              <f>'Jan'!$AA$32</f>
            </numRef>
          </val>
        </ser>
        <ser>
          <idx val="23"/>
          <order val="23"/>
          <spPr>
            <a:ln xmlns:a="http://schemas.openxmlformats.org/drawingml/2006/main">
              <a:prstDash val="solid"/>
            </a:ln>
          </spPr>
          <marker>
            <symbol val="none"/>
            <spPr>
              <a:ln xmlns:a="http://schemas.openxmlformats.org/drawingml/2006/main">
                <a:prstDash val="solid"/>
              </a:ln>
            </spPr>
          </marker>
          <cat>
            <numRef>
              <f>'Jan'!$E$6:$AI$6</f>
            </numRef>
          </cat>
          <val>
            <numRef>
              <f>'Jan'!$AB$32</f>
            </numRef>
          </val>
        </ser>
        <ser>
          <idx val="24"/>
          <order val="24"/>
          <spPr>
            <a:ln xmlns:a="http://schemas.openxmlformats.org/drawingml/2006/main">
              <a:prstDash val="solid"/>
            </a:ln>
          </spPr>
          <marker>
            <symbol val="none"/>
            <spPr>
              <a:ln xmlns:a="http://schemas.openxmlformats.org/drawingml/2006/main">
                <a:prstDash val="solid"/>
              </a:ln>
            </spPr>
          </marker>
          <cat>
            <numRef>
              <f>'Jan'!$E$6:$AI$6</f>
            </numRef>
          </cat>
          <val>
            <numRef>
              <f>'Jan'!$AC$32</f>
            </numRef>
          </val>
        </ser>
        <ser>
          <idx val="25"/>
          <order val="25"/>
          <spPr>
            <a:ln xmlns:a="http://schemas.openxmlformats.org/drawingml/2006/main">
              <a:prstDash val="solid"/>
            </a:ln>
          </spPr>
          <marker>
            <symbol val="none"/>
            <spPr>
              <a:ln xmlns:a="http://schemas.openxmlformats.org/drawingml/2006/main">
                <a:prstDash val="solid"/>
              </a:ln>
            </spPr>
          </marker>
          <cat>
            <numRef>
              <f>'Jan'!$E$6:$AI$6</f>
            </numRef>
          </cat>
          <val>
            <numRef>
              <f>'Jan'!$AD$32</f>
            </numRef>
          </val>
        </ser>
        <ser>
          <idx val="26"/>
          <order val="26"/>
          <spPr>
            <a:ln xmlns:a="http://schemas.openxmlformats.org/drawingml/2006/main">
              <a:prstDash val="solid"/>
            </a:ln>
          </spPr>
          <marker>
            <symbol val="none"/>
            <spPr>
              <a:ln xmlns:a="http://schemas.openxmlformats.org/drawingml/2006/main">
                <a:prstDash val="solid"/>
              </a:ln>
            </spPr>
          </marker>
          <cat>
            <numRef>
              <f>'Jan'!$E$6:$AI$6</f>
            </numRef>
          </cat>
          <val>
            <numRef>
              <f>'Jan'!$AE$32</f>
            </numRef>
          </val>
        </ser>
        <ser>
          <idx val="27"/>
          <order val="27"/>
          <spPr>
            <a:ln xmlns:a="http://schemas.openxmlformats.org/drawingml/2006/main">
              <a:prstDash val="solid"/>
            </a:ln>
          </spPr>
          <marker>
            <symbol val="none"/>
            <spPr>
              <a:ln xmlns:a="http://schemas.openxmlformats.org/drawingml/2006/main">
                <a:prstDash val="solid"/>
              </a:ln>
            </spPr>
          </marker>
          <cat>
            <numRef>
              <f>'Jan'!$E$6:$AI$6</f>
            </numRef>
          </cat>
          <val>
            <numRef>
              <f>'Jan'!$AF$32</f>
            </numRef>
          </val>
        </ser>
        <ser>
          <idx val="28"/>
          <order val="28"/>
          <spPr>
            <a:ln xmlns:a="http://schemas.openxmlformats.org/drawingml/2006/main">
              <a:prstDash val="solid"/>
            </a:ln>
          </spPr>
          <marker>
            <symbol val="none"/>
            <spPr>
              <a:ln xmlns:a="http://schemas.openxmlformats.org/drawingml/2006/main">
                <a:prstDash val="solid"/>
              </a:ln>
            </spPr>
          </marker>
          <cat>
            <numRef>
              <f>'Jan'!$E$6:$AI$6</f>
            </numRef>
          </cat>
          <val>
            <numRef>
              <f>'Jan'!$AG$32</f>
            </numRef>
          </val>
        </ser>
        <ser>
          <idx val="29"/>
          <order val="29"/>
          <spPr>
            <a:ln xmlns:a="http://schemas.openxmlformats.org/drawingml/2006/main">
              <a:prstDash val="solid"/>
            </a:ln>
          </spPr>
          <marker>
            <symbol val="none"/>
            <spPr>
              <a:ln xmlns:a="http://schemas.openxmlformats.org/drawingml/2006/main">
                <a:prstDash val="solid"/>
              </a:ln>
            </spPr>
          </marker>
          <cat>
            <numRef>
              <f>'Jan'!$E$6:$AI$6</f>
            </numRef>
          </cat>
          <val>
            <numRef>
              <f>'Jan'!$AH$32</f>
            </numRef>
          </val>
        </ser>
        <ser>
          <idx val="30"/>
          <order val="30"/>
          <spPr>
            <a:ln xmlns:a="http://schemas.openxmlformats.org/drawingml/2006/main">
              <a:prstDash val="solid"/>
            </a:ln>
          </spPr>
          <marker>
            <symbol val="none"/>
            <spPr>
              <a:ln xmlns:a="http://schemas.openxmlformats.org/drawingml/2006/main">
                <a:prstDash val="solid"/>
              </a:ln>
            </spPr>
          </marker>
          <cat>
            <numRef>
              <f>'Jan'!$E$6:$AI$6</f>
            </numRef>
          </cat>
          <val>
            <numRef>
              <f>'Jan'!$AI$32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Points</a:t>
                </a:r>
              </a:p>
            </rich>
          </tx>
        </title>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Good vs Bad (Daily Counts)</a:t>
            </a:r>
          </a:p>
        </rich>
      </tx>
    </title>
    <plotArea>
      <barChart>
        <barDir val="col"/>
        <grouping val="clustered"/>
        <ser>
          <idx val="0"/>
          <order val="0"/>
          <spPr>
            <a:ln xmlns:a="http://schemas.openxmlformats.org/drawingml/2006/main">
              <a:prstDash val="solid"/>
            </a:ln>
          </spPr>
          <cat>
            <numRef>
              <f>'Jan'!$E$6:$AI$6</f>
            </numRef>
          </cat>
          <val>
            <numRef>
              <f>'Jan'!$E$30:$AI$30</f>
            </numRef>
          </val>
        </ser>
        <ser>
          <idx val="1"/>
          <order val="1"/>
          <spPr>
            <a:ln xmlns:a="http://schemas.openxmlformats.org/drawingml/2006/main">
              <a:prstDash val="solid"/>
            </a:ln>
          </spPr>
          <cat>
            <numRef>
              <f>'Jan'!$E$6:$AI$6</f>
            </numRef>
          </cat>
          <val>
            <numRef>
              <f>'Jan'!$E$31:$AI$31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Daily Net Score</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'Feb'!$E$6:$AI$6</f>
            </numRef>
          </cat>
          <val>
            <numRef>
              <f>'Feb'!$E$32</f>
            </numRef>
          </val>
        </ser>
        <ser>
          <idx val="1"/>
          <order val="1"/>
          <spPr>
            <a:ln xmlns:a="http://schemas.openxmlformats.org/drawingml/2006/main">
              <a:prstDash val="solid"/>
            </a:ln>
          </spPr>
          <marker>
            <symbol val="none"/>
            <spPr>
              <a:ln xmlns:a="http://schemas.openxmlformats.org/drawingml/2006/main">
                <a:prstDash val="solid"/>
              </a:ln>
            </spPr>
          </marker>
          <cat>
            <numRef>
              <f>'Feb'!$E$6:$AI$6</f>
            </numRef>
          </cat>
          <val>
            <numRef>
              <f>'Feb'!$F$32</f>
            </numRef>
          </val>
        </ser>
        <ser>
          <idx val="2"/>
          <order val="2"/>
          <spPr>
            <a:ln xmlns:a="http://schemas.openxmlformats.org/drawingml/2006/main">
              <a:prstDash val="solid"/>
            </a:ln>
          </spPr>
          <marker>
            <symbol val="none"/>
            <spPr>
              <a:ln xmlns:a="http://schemas.openxmlformats.org/drawingml/2006/main">
                <a:prstDash val="solid"/>
              </a:ln>
            </spPr>
          </marker>
          <cat>
            <numRef>
              <f>'Feb'!$E$6:$AI$6</f>
            </numRef>
          </cat>
          <val>
            <numRef>
              <f>'Feb'!$G$32</f>
            </numRef>
          </val>
        </ser>
        <ser>
          <idx val="3"/>
          <order val="3"/>
          <spPr>
            <a:ln xmlns:a="http://schemas.openxmlformats.org/drawingml/2006/main">
              <a:prstDash val="solid"/>
            </a:ln>
          </spPr>
          <marker>
            <symbol val="none"/>
            <spPr>
              <a:ln xmlns:a="http://schemas.openxmlformats.org/drawingml/2006/main">
                <a:prstDash val="solid"/>
              </a:ln>
            </spPr>
          </marker>
          <cat>
            <numRef>
              <f>'Feb'!$E$6:$AI$6</f>
            </numRef>
          </cat>
          <val>
            <numRef>
              <f>'Feb'!$H$32</f>
            </numRef>
          </val>
        </ser>
        <ser>
          <idx val="4"/>
          <order val="4"/>
          <spPr>
            <a:ln xmlns:a="http://schemas.openxmlformats.org/drawingml/2006/main">
              <a:prstDash val="solid"/>
            </a:ln>
          </spPr>
          <marker>
            <symbol val="none"/>
            <spPr>
              <a:ln xmlns:a="http://schemas.openxmlformats.org/drawingml/2006/main">
                <a:prstDash val="solid"/>
              </a:ln>
            </spPr>
          </marker>
          <cat>
            <numRef>
              <f>'Feb'!$E$6:$AI$6</f>
            </numRef>
          </cat>
          <val>
            <numRef>
              <f>'Feb'!$I$32</f>
            </numRef>
          </val>
        </ser>
        <ser>
          <idx val="5"/>
          <order val="5"/>
          <spPr>
            <a:ln xmlns:a="http://schemas.openxmlformats.org/drawingml/2006/main">
              <a:prstDash val="solid"/>
            </a:ln>
          </spPr>
          <marker>
            <symbol val="none"/>
            <spPr>
              <a:ln xmlns:a="http://schemas.openxmlformats.org/drawingml/2006/main">
                <a:prstDash val="solid"/>
              </a:ln>
            </spPr>
          </marker>
          <cat>
            <numRef>
              <f>'Feb'!$E$6:$AI$6</f>
            </numRef>
          </cat>
          <val>
            <numRef>
              <f>'Feb'!$J$32</f>
            </numRef>
          </val>
        </ser>
        <ser>
          <idx val="6"/>
          <order val="6"/>
          <spPr>
            <a:ln xmlns:a="http://schemas.openxmlformats.org/drawingml/2006/main">
              <a:prstDash val="solid"/>
            </a:ln>
          </spPr>
          <marker>
            <symbol val="none"/>
            <spPr>
              <a:ln xmlns:a="http://schemas.openxmlformats.org/drawingml/2006/main">
                <a:prstDash val="solid"/>
              </a:ln>
            </spPr>
          </marker>
          <cat>
            <numRef>
              <f>'Feb'!$E$6:$AI$6</f>
            </numRef>
          </cat>
          <val>
            <numRef>
              <f>'Feb'!$K$32</f>
            </numRef>
          </val>
        </ser>
        <ser>
          <idx val="7"/>
          <order val="7"/>
          <spPr>
            <a:ln xmlns:a="http://schemas.openxmlformats.org/drawingml/2006/main">
              <a:prstDash val="solid"/>
            </a:ln>
          </spPr>
          <marker>
            <symbol val="none"/>
            <spPr>
              <a:ln xmlns:a="http://schemas.openxmlformats.org/drawingml/2006/main">
                <a:prstDash val="solid"/>
              </a:ln>
            </spPr>
          </marker>
          <cat>
            <numRef>
              <f>'Feb'!$E$6:$AI$6</f>
            </numRef>
          </cat>
          <val>
            <numRef>
              <f>'Feb'!$L$32</f>
            </numRef>
          </val>
        </ser>
        <ser>
          <idx val="8"/>
          <order val="8"/>
          <spPr>
            <a:ln xmlns:a="http://schemas.openxmlformats.org/drawingml/2006/main">
              <a:prstDash val="solid"/>
            </a:ln>
          </spPr>
          <marker>
            <symbol val="none"/>
            <spPr>
              <a:ln xmlns:a="http://schemas.openxmlformats.org/drawingml/2006/main">
                <a:prstDash val="solid"/>
              </a:ln>
            </spPr>
          </marker>
          <cat>
            <numRef>
              <f>'Feb'!$E$6:$AI$6</f>
            </numRef>
          </cat>
          <val>
            <numRef>
              <f>'Feb'!$M$32</f>
            </numRef>
          </val>
        </ser>
        <ser>
          <idx val="9"/>
          <order val="9"/>
          <spPr>
            <a:ln xmlns:a="http://schemas.openxmlformats.org/drawingml/2006/main">
              <a:prstDash val="solid"/>
            </a:ln>
          </spPr>
          <marker>
            <symbol val="none"/>
            <spPr>
              <a:ln xmlns:a="http://schemas.openxmlformats.org/drawingml/2006/main">
                <a:prstDash val="solid"/>
              </a:ln>
            </spPr>
          </marker>
          <cat>
            <numRef>
              <f>'Feb'!$E$6:$AI$6</f>
            </numRef>
          </cat>
          <val>
            <numRef>
              <f>'Feb'!$N$32</f>
            </numRef>
          </val>
        </ser>
        <ser>
          <idx val="10"/>
          <order val="10"/>
          <spPr>
            <a:ln xmlns:a="http://schemas.openxmlformats.org/drawingml/2006/main">
              <a:prstDash val="solid"/>
            </a:ln>
          </spPr>
          <marker>
            <symbol val="none"/>
            <spPr>
              <a:ln xmlns:a="http://schemas.openxmlformats.org/drawingml/2006/main">
                <a:prstDash val="solid"/>
              </a:ln>
            </spPr>
          </marker>
          <cat>
            <numRef>
              <f>'Feb'!$E$6:$AI$6</f>
            </numRef>
          </cat>
          <val>
            <numRef>
              <f>'Feb'!$O$32</f>
            </numRef>
          </val>
        </ser>
        <ser>
          <idx val="11"/>
          <order val="11"/>
          <spPr>
            <a:ln xmlns:a="http://schemas.openxmlformats.org/drawingml/2006/main">
              <a:prstDash val="solid"/>
            </a:ln>
          </spPr>
          <marker>
            <symbol val="none"/>
            <spPr>
              <a:ln xmlns:a="http://schemas.openxmlformats.org/drawingml/2006/main">
                <a:prstDash val="solid"/>
              </a:ln>
            </spPr>
          </marker>
          <cat>
            <numRef>
              <f>'Feb'!$E$6:$AI$6</f>
            </numRef>
          </cat>
          <val>
            <numRef>
              <f>'Feb'!$P$32</f>
            </numRef>
          </val>
        </ser>
        <ser>
          <idx val="12"/>
          <order val="12"/>
          <spPr>
            <a:ln xmlns:a="http://schemas.openxmlformats.org/drawingml/2006/main">
              <a:prstDash val="solid"/>
            </a:ln>
          </spPr>
          <marker>
            <symbol val="none"/>
            <spPr>
              <a:ln xmlns:a="http://schemas.openxmlformats.org/drawingml/2006/main">
                <a:prstDash val="solid"/>
              </a:ln>
            </spPr>
          </marker>
          <cat>
            <numRef>
              <f>'Feb'!$E$6:$AI$6</f>
            </numRef>
          </cat>
          <val>
            <numRef>
              <f>'Feb'!$Q$32</f>
            </numRef>
          </val>
        </ser>
        <ser>
          <idx val="13"/>
          <order val="13"/>
          <spPr>
            <a:ln xmlns:a="http://schemas.openxmlformats.org/drawingml/2006/main">
              <a:prstDash val="solid"/>
            </a:ln>
          </spPr>
          <marker>
            <symbol val="none"/>
            <spPr>
              <a:ln xmlns:a="http://schemas.openxmlformats.org/drawingml/2006/main">
                <a:prstDash val="solid"/>
              </a:ln>
            </spPr>
          </marker>
          <cat>
            <numRef>
              <f>'Feb'!$E$6:$AI$6</f>
            </numRef>
          </cat>
          <val>
            <numRef>
              <f>'Feb'!$R$32</f>
            </numRef>
          </val>
        </ser>
        <ser>
          <idx val="14"/>
          <order val="14"/>
          <spPr>
            <a:ln xmlns:a="http://schemas.openxmlformats.org/drawingml/2006/main">
              <a:prstDash val="solid"/>
            </a:ln>
          </spPr>
          <marker>
            <symbol val="none"/>
            <spPr>
              <a:ln xmlns:a="http://schemas.openxmlformats.org/drawingml/2006/main">
                <a:prstDash val="solid"/>
              </a:ln>
            </spPr>
          </marker>
          <cat>
            <numRef>
              <f>'Feb'!$E$6:$AI$6</f>
            </numRef>
          </cat>
          <val>
            <numRef>
              <f>'Feb'!$S$32</f>
            </numRef>
          </val>
        </ser>
        <ser>
          <idx val="15"/>
          <order val="15"/>
          <spPr>
            <a:ln xmlns:a="http://schemas.openxmlformats.org/drawingml/2006/main">
              <a:prstDash val="solid"/>
            </a:ln>
          </spPr>
          <marker>
            <symbol val="none"/>
            <spPr>
              <a:ln xmlns:a="http://schemas.openxmlformats.org/drawingml/2006/main">
                <a:prstDash val="solid"/>
              </a:ln>
            </spPr>
          </marker>
          <cat>
            <numRef>
              <f>'Feb'!$E$6:$AI$6</f>
            </numRef>
          </cat>
          <val>
            <numRef>
              <f>'Feb'!$T$32</f>
            </numRef>
          </val>
        </ser>
        <ser>
          <idx val="16"/>
          <order val="16"/>
          <spPr>
            <a:ln xmlns:a="http://schemas.openxmlformats.org/drawingml/2006/main">
              <a:prstDash val="solid"/>
            </a:ln>
          </spPr>
          <marker>
            <symbol val="none"/>
            <spPr>
              <a:ln xmlns:a="http://schemas.openxmlformats.org/drawingml/2006/main">
                <a:prstDash val="solid"/>
              </a:ln>
            </spPr>
          </marker>
          <cat>
            <numRef>
              <f>'Feb'!$E$6:$AI$6</f>
            </numRef>
          </cat>
          <val>
            <numRef>
              <f>'Feb'!$U$32</f>
            </numRef>
          </val>
        </ser>
        <ser>
          <idx val="17"/>
          <order val="17"/>
          <spPr>
            <a:ln xmlns:a="http://schemas.openxmlformats.org/drawingml/2006/main">
              <a:prstDash val="solid"/>
            </a:ln>
          </spPr>
          <marker>
            <symbol val="none"/>
            <spPr>
              <a:ln xmlns:a="http://schemas.openxmlformats.org/drawingml/2006/main">
                <a:prstDash val="solid"/>
              </a:ln>
            </spPr>
          </marker>
          <cat>
            <numRef>
              <f>'Feb'!$E$6:$AI$6</f>
            </numRef>
          </cat>
          <val>
            <numRef>
              <f>'Feb'!$V$32</f>
            </numRef>
          </val>
        </ser>
        <ser>
          <idx val="18"/>
          <order val="18"/>
          <spPr>
            <a:ln xmlns:a="http://schemas.openxmlformats.org/drawingml/2006/main">
              <a:prstDash val="solid"/>
            </a:ln>
          </spPr>
          <marker>
            <symbol val="none"/>
            <spPr>
              <a:ln xmlns:a="http://schemas.openxmlformats.org/drawingml/2006/main">
                <a:prstDash val="solid"/>
              </a:ln>
            </spPr>
          </marker>
          <cat>
            <numRef>
              <f>'Feb'!$E$6:$AI$6</f>
            </numRef>
          </cat>
          <val>
            <numRef>
              <f>'Feb'!$W$32</f>
            </numRef>
          </val>
        </ser>
        <ser>
          <idx val="19"/>
          <order val="19"/>
          <spPr>
            <a:ln xmlns:a="http://schemas.openxmlformats.org/drawingml/2006/main">
              <a:prstDash val="solid"/>
            </a:ln>
          </spPr>
          <marker>
            <symbol val="none"/>
            <spPr>
              <a:ln xmlns:a="http://schemas.openxmlformats.org/drawingml/2006/main">
                <a:prstDash val="solid"/>
              </a:ln>
            </spPr>
          </marker>
          <cat>
            <numRef>
              <f>'Feb'!$E$6:$AI$6</f>
            </numRef>
          </cat>
          <val>
            <numRef>
              <f>'Feb'!$X$32</f>
            </numRef>
          </val>
        </ser>
        <ser>
          <idx val="20"/>
          <order val="20"/>
          <spPr>
            <a:ln xmlns:a="http://schemas.openxmlformats.org/drawingml/2006/main">
              <a:prstDash val="solid"/>
            </a:ln>
          </spPr>
          <marker>
            <symbol val="none"/>
            <spPr>
              <a:ln xmlns:a="http://schemas.openxmlformats.org/drawingml/2006/main">
                <a:prstDash val="solid"/>
              </a:ln>
            </spPr>
          </marker>
          <cat>
            <numRef>
              <f>'Feb'!$E$6:$AI$6</f>
            </numRef>
          </cat>
          <val>
            <numRef>
              <f>'Feb'!$Y$32</f>
            </numRef>
          </val>
        </ser>
        <ser>
          <idx val="21"/>
          <order val="21"/>
          <spPr>
            <a:ln xmlns:a="http://schemas.openxmlformats.org/drawingml/2006/main">
              <a:prstDash val="solid"/>
            </a:ln>
          </spPr>
          <marker>
            <symbol val="none"/>
            <spPr>
              <a:ln xmlns:a="http://schemas.openxmlformats.org/drawingml/2006/main">
                <a:prstDash val="solid"/>
              </a:ln>
            </spPr>
          </marker>
          <cat>
            <numRef>
              <f>'Feb'!$E$6:$AI$6</f>
            </numRef>
          </cat>
          <val>
            <numRef>
              <f>'Feb'!$Z$32</f>
            </numRef>
          </val>
        </ser>
        <ser>
          <idx val="22"/>
          <order val="22"/>
          <spPr>
            <a:ln xmlns:a="http://schemas.openxmlformats.org/drawingml/2006/main">
              <a:prstDash val="solid"/>
            </a:ln>
          </spPr>
          <marker>
            <symbol val="none"/>
            <spPr>
              <a:ln xmlns:a="http://schemas.openxmlformats.org/drawingml/2006/main">
                <a:prstDash val="solid"/>
              </a:ln>
            </spPr>
          </marker>
          <cat>
            <numRef>
              <f>'Feb'!$E$6:$AI$6</f>
            </numRef>
          </cat>
          <val>
            <numRef>
              <f>'Feb'!$AA$32</f>
            </numRef>
          </val>
        </ser>
        <ser>
          <idx val="23"/>
          <order val="23"/>
          <spPr>
            <a:ln xmlns:a="http://schemas.openxmlformats.org/drawingml/2006/main">
              <a:prstDash val="solid"/>
            </a:ln>
          </spPr>
          <marker>
            <symbol val="none"/>
            <spPr>
              <a:ln xmlns:a="http://schemas.openxmlformats.org/drawingml/2006/main">
                <a:prstDash val="solid"/>
              </a:ln>
            </spPr>
          </marker>
          <cat>
            <numRef>
              <f>'Feb'!$E$6:$AI$6</f>
            </numRef>
          </cat>
          <val>
            <numRef>
              <f>'Feb'!$AB$32</f>
            </numRef>
          </val>
        </ser>
        <ser>
          <idx val="24"/>
          <order val="24"/>
          <spPr>
            <a:ln xmlns:a="http://schemas.openxmlformats.org/drawingml/2006/main">
              <a:prstDash val="solid"/>
            </a:ln>
          </spPr>
          <marker>
            <symbol val="none"/>
            <spPr>
              <a:ln xmlns:a="http://schemas.openxmlformats.org/drawingml/2006/main">
                <a:prstDash val="solid"/>
              </a:ln>
            </spPr>
          </marker>
          <cat>
            <numRef>
              <f>'Feb'!$E$6:$AI$6</f>
            </numRef>
          </cat>
          <val>
            <numRef>
              <f>'Feb'!$AC$32</f>
            </numRef>
          </val>
        </ser>
        <ser>
          <idx val="25"/>
          <order val="25"/>
          <spPr>
            <a:ln xmlns:a="http://schemas.openxmlformats.org/drawingml/2006/main">
              <a:prstDash val="solid"/>
            </a:ln>
          </spPr>
          <marker>
            <symbol val="none"/>
            <spPr>
              <a:ln xmlns:a="http://schemas.openxmlformats.org/drawingml/2006/main">
                <a:prstDash val="solid"/>
              </a:ln>
            </spPr>
          </marker>
          <cat>
            <numRef>
              <f>'Feb'!$E$6:$AI$6</f>
            </numRef>
          </cat>
          <val>
            <numRef>
              <f>'Feb'!$AD$32</f>
            </numRef>
          </val>
        </ser>
        <ser>
          <idx val="26"/>
          <order val="26"/>
          <spPr>
            <a:ln xmlns:a="http://schemas.openxmlformats.org/drawingml/2006/main">
              <a:prstDash val="solid"/>
            </a:ln>
          </spPr>
          <marker>
            <symbol val="none"/>
            <spPr>
              <a:ln xmlns:a="http://schemas.openxmlformats.org/drawingml/2006/main">
                <a:prstDash val="solid"/>
              </a:ln>
            </spPr>
          </marker>
          <cat>
            <numRef>
              <f>'Feb'!$E$6:$AI$6</f>
            </numRef>
          </cat>
          <val>
            <numRef>
              <f>'Feb'!$AE$32</f>
            </numRef>
          </val>
        </ser>
        <ser>
          <idx val="27"/>
          <order val="27"/>
          <spPr>
            <a:ln xmlns:a="http://schemas.openxmlformats.org/drawingml/2006/main">
              <a:prstDash val="solid"/>
            </a:ln>
          </spPr>
          <marker>
            <symbol val="none"/>
            <spPr>
              <a:ln xmlns:a="http://schemas.openxmlformats.org/drawingml/2006/main">
                <a:prstDash val="solid"/>
              </a:ln>
            </spPr>
          </marker>
          <cat>
            <numRef>
              <f>'Feb'!$E$6:$AI$6</f>
            </numRef>
          </cat>
          <val>
            <numRef>
              <f>'Feb'!$AF$32</f>
            </numRef>
          </val>
        </ser>
        <ser>
          <idx val="28"/>
          <order val="28"/>
          <spPr>
            <a:ln xmlns:a="http://schemas.openxmlformats.org/drawingml/2006/main">
              <a:prstDash val="solid"/>
            </a:ln>
          </spPr>
          <marker>
            <symbol val="none"/>
            <spPr>
              <a:ln xmlns:a="http://schemas.openxmlformats.org/drawingml/2006/main">
                <a:prstDash val="solid"/>
              </a:ln>
            </spPr>
          </marker>
          <cat>
            <numRef>
              <f>'Feb'!$E$6:$AI$6</f>
            </numRef>
          </cat>
          <val>
            <numRef>
              <f>'Feb'!$AG$32</f>
            </numRef>
          </val>
        </ser>
        <ser>
          <idx val="29"/>
          <order val="29"/>
          <spPr>
            <a:ln xmlns:a="http://schemas.openxmlformats.org/drawingml/2006/main">
              <a:prstDash val="solid"/>
            </a:ln>
          </spPr>
          <marker>
            <symbol val="none"/>
            <spPr>
              <a:ln xmlns:a="http://schemas.openxmlformats.org/drawingml/2006/main">
                <a:prstDash val="solid"/>
              </a:ln>
            </spPr>
          </marker>
          <cat>
            <numRef>
              <f>'Feb'!$E$6:$AI$6</f>
            </numRef>
          </cat>
          <val>
            <numRef>
              <f>'Feb'!$AH$32</f>
            </numRef>
          </val>
        </ser>
        <ser>
          <idx val="30"/>
          <order val="30"/>
          <spPr>
            <a:ln xmlns:a="http://schemas.openxmlformats.org/drawingml/2006/main">
              <a:prstDash val="solid"/>
            </a:ln>
          </spPr>
          <marker>
            <symbol val="none"/>
            <spPr>
              <a:ln xmlns:a="http://schemas.openxmlformats.org/drawingml/2006/main">
                <a:prstDash val="solid"/>
              </a:ln>
            </spPr>
          </marker>
          <cat>
            <numRef>
              <f>'Feb'!$E$6:$AI$6</f>
            </numRef>
          </cat>
          <val>
            <numRef>
              <f>'Feb'!$AI$32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Points</a:t>
                </a:r>
              </a:p>
            </rich>
          </tx>
        </title>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Good vs Bad (Daily Counts)</a:t>
            </a:r>
          </a:p>
        </rich>
      </tx>
    </title>
    <plotArea>
      <barChart>
        <barDir val="col"/>
        <grouping val="clustered"/>
        <ser>
          <idx val="0"/>
          <order val="0"/>
          <spPr>
            <a:ln xmlns:a="http://schemas.openxmlformats.org/drawingml/2006/main">
              <a:prstDash val="solid"/>
            </a:ln>
          </spPr>
          <cat>
            <numRef>
              <f>'Feb'!$E$6:$AI$6</f>
            </numRef>
          </cat>
          <val>
            <numRef>
              <f>'Feb'!$E$30:$AI$30</f>
            </numRef>
          </val>
        </ser>
        <ser>
          <idx val="1"/>
          <order val="1"/>
          <spPr>
            <a:ln xmlns:a="http://schemas.openxmlformats.org/drawingml/2006/main">
              <a:prstDash val="solid"/>
            </a:ln>
          </spPr>
          <cat>
            <numRef>
              <f>'Feb'!$E$6:$AI$6</f>
            </numRef>
          </cat>
          <val>
            <numRef>
              <f>'Feb'!$E$31:$AI$31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Daily Net Score</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'Mar'!$E$6:$AI$6</f>
            </numRef>
          </cat>
          <val>
            <numRef>
              <f>'Mar'!$E$32</f>
            </numRef>
          </val>
        </ser>
        <ser>
          <idx val="1"/>
          <order val="1"/>
          <spPr>
            <a:ln xmlns:a="http://schemas.openxmlformats.org/drawingml/2006/main">
              <a:prstDash val="solid"/>
            </a:ln>
          </spPr>
          <marker>
            <symbol val="none"/>
            <spPr>
              <a:ln xmlns:a="http://schemas.openxmlformats.org/drawingml/2006/main">
                <a:prstDash val="solid"/>
              </a:ln>
            </spPr>
          </marker>
          <cat>
            <numRef>
              <f>'Mar'!$E$6:$AI$6</f>
            </numRef>
          </cat>
          <val>
            <numRef>
              <f>'Mar'!$F$32</f>
            </numRef>
          </val>
        </ser>
        <ser>
          <idx val="2"/>
          <order val="2"/>
          <spPr>
            <a:ln xmlns:a="http://schemas.openxmlformats.org/drawingml/2006/main">
              <a:prstDash val="solid"/>
            </a:ln>
          </spPr>
          <marker>
            <symbol val="none"/>
            <spPr>
              <a:ln xmlns:a="http://schemas.openxmlformats.org/drawingml/2006/main">
                <a:prstDash val="solid"/>
              </a:ln>
            </spPr>
          </marker>
          <cat>
            <numRef>
              <f>'Mar'!$E$6:$AI$6</f>
            </numRef>
          </cat>
          <val>
            <numRef>
              <f>'Mar'!$G$32</f>
            </numRef>
          </val>
        </ser>
        <ser>
          <idx val="3"/>
          <order val="3"/>
          <spPr>
            <a:ln xmlns:a="http://schemas.openxmlformats.org/drawingml/2006/main">
              <a:prstDash val="solid"/>
            </a:ln>
          </spPr>
          <marker>
            <symbol val="none"/>
            <spPr>
              <a:ln xmlns:a="http://schemas.openxmlformats.org/drawingml/2006/main">
                <a:prstDash val="solid"/>
              </a:ln>
            </spPr>
          </marker>
          <cat>
            <numRef>
              <f>'Mar'!$E$6:$AI$6</f>
            </numRef>
          </cat>
          <val>
            <numRef>
              <f>'Mar'!$H$32</f>
            </numRef>
          </val>
        </ser>
        <ser>
          <idx val="4"/>
          <order val="4"/>
          <spPr>
            <a:ln xmlns:a="http://schemas.openxmlformats.org/drawingml/2006/main">
              <a:prstDash val="solid"/>
            </a:ln>
          </spPr>
          <marker>
            <symbol val="none"/>
            <spPr>
              <a:ln xmlns:a="http://schemas.openxmlformats.org/drawingml/2006/main">
                <a:prstDash val="solid"/>
              </a:ln>
            </spPr>
          </marker>
          <cat>
            <numRef>
              <f>'Mar'!$E$6:$AI$6</f>
            </numRef>
          </cat>
          <val>
            <numRef>
              <f>'Mar'!$I$32</f>
            </numRef>
          </val>
        </ser>
        <ser>
          <idx val="5"/>
          <order val="5"/>
          <spPr>
            <a:ln xmlns:a="http://schemas.openxmlformats.org/drawingml/2006/main">
              <a:prstDash val="solid"/>
            </a:ln>
          </spPr>
          <marker>
            <symbol val="none"/>
            <spPr>
              <a:ln xmlns:a="http://schemas.openxmlformats.org/drawingml/2006/main">
                <a:prstDash val="solid"/>
              </a:ln>
            </spPr>
          </marker>
          <cat>
            <numRef>
              <f>'Mar'!$E$6:$AI$6</f>
            </numRef>
          </cat>
          <val>
            <numRef>
              <f>'Mar'!$J$32</f>
            </numRef>
          </val>
        </ser>
        <ser>
          <idx val="6"/>
          <order val="6"/>
          <spPr>
            <a:ln xmlns:a="http://schemas.openxmlformats.org/drawingml/2006/main">
              <a:prstDash val="solid"/>
            </a:ln>
          </spPr>
          <marker>
            <symbol val="none"/>
            <spPr>
              <a:ln xmlns:a="http://schemas.openxmlformats.org/drawingml/2006/main">
                <a:prstDash val="solid"/>
              </a:ln>
            </spPr>
          </marker>
          <cat>
            <numRef>
              <f>'Mar'!$E$6:$AI$6</f>
            </numRef>
          </cat>
          <val>
            <numRef>
              <f>'Mar'!$K$32</f>
            </numRef>
          </val>
        </ser>
        <ser>
          <idx val="7"/>
          <order val="7"/>
          <spPr>
            <a:ln xmlns:a="http://schemas.openxmlformats.org/drawingml/2006/main">
              <a:prstDash val="solid"/>
            </a:ln>
          </spPr>
          <marker>
            <symbol val="none"/>
            <spPr>
              <a:ln xmlns:a="http://schemas.openxmlformats.org/drawingml/2006/main">
                <a:prstDash val="solid"/>
              </a:ln>
            </spPr>
          </marker>
          <cat>
            <numRef>
              <f>'Mar'!$E$6:$AI$6</f>
            </numRef>
          </cat>
          <val>
            <numRef>
              <f>'Mar'!$L$32</f>
            </numRef>
          </val>
        </ser>
        <ser>
          <idx val="8"/>
          <order val="8"/>
          <spPr>
            <a:ln xmlns:a="http://schemas.openxmlformats.org/drawingml/2006/main">
              <a:prstDash val="solid"/>
            </a:ln>
          </spPr>
          <marker>
            <symbol val="none"/>
            <spPr>
              <a:ln xmlns:a="http://schemas.openxmlformats.org/drawingml/2006/main">
                <a:prstDash val="solid"/>
              </a:ln>
            </spPr>
          </marker>
          <cat>
            <numRef>
              <f>'Mar'!$E$6:$AI$6</f>
            </numRef>
          </cat>
          <val>
            <numRef>
              <f>'Mar'!$M$32</f>
            </numRef>
          </val>
        </ser>
        <ser>
          <idx val="9"/>
          <order val="9"/>
          <spPr>
            <a:ln xmlns:a="http://schemas.openxmlformats.org/drawingml/2006/main">
              <a:prstDash val="solid"/>
            </a:ln>
          </spPr>
          <marker>
            <symbol val="none"/>
            <spPr>
              <a:ln xmlns:a="http://schemas.openxmlformats.org/drawingml/2006/main">
                <a:prstDash val="solid"/>
              </a:ln>
            </spPr>
          </marker>
          <cat>
            <numRef>
              <f>'Mar'!$E$6:$AI$6</f>
            </numRef>
          </cat>
          <val>
            <numRef>
              <f>'Mar'!$N$32</f>
            </numRef>
          </val>
        </ser>
        <ser>
          <idx val="10"/>
          <order val="10"/>
          <spPr>
            <a:ln xmlns:a="http://schemas.openxmlformats.org/drawingml/2006/main">
              <a:prstDash val="solid"/>
            </a:ln>
          </spPr>
          <marker>
            <symbol val="none"/>
            <spPr>
              <a:ln xmlns:a="http://schemas.openxmlformats.org/drawingml/2006/main">
                <a:prstDash val="solid"/>
              </a:ln>
            </spPr>
          </marker>
          <cat>
            <numRef>
              <f>'Mar'!$E$6:$AI$6</f>
            </numRef>
          </cat>
          <val>
            <numRef>
              <f>'Mar'!$O$32</f>
            </numRef>
          </val>
        </ser>
        <ser>
          <idx val="11"/>
          <order val="11"/>
          <spPr>
            <a:ln xmlns:a="http://schemas.openxmlformats.org/drawingml/2006/main">
              <a:prstDash val="solid"/>
            </a:ln>
          </spPr>
          <marker>
            <symbol val="none"/>
            <spPr>
              <a:ln xmlns:a="http://schemas.openxmlformats.org/drawingml/2006/main">
                <a:prstDash val="solid"/>
              </a:ln>
            </spPr>
          </marker>
          <cat>
            <numRef>
              <f>'Mar'!$E$6:$AI$6</f>
            </numRef>
          </cat>
          <val>
            <numRef>
              <f>'Mar'!$P$32</f>
            </numRef>
          </val>
        </ser>
        <ser>
          <idx val="12"/>
          <order val="12"/>
          <spPr>
            <a:ln xmlns:a="http://schemas.openxmlformats.org/drawingml/2006/main">
              <a:prstDash val="solid"/>
            </a:ln>
          </spPr>
          <marker>
            <symbol val="none"/>
            <spPr>
              <a:ln xmlns:a="http://schemas.openxmlformats.org/drawingml/2006/main">
                <a:prstDash val="solid"/>
              </a:ln>
            </spPr>
          </marker>
          <cat>
            <numRef>
              <f>'Mar'!$E$6:$AI$6</f>
            </numRef>
          </cat>
          <val>
            <numRef>
              <f>'Mar'!$Q$32</f>
            </numRef>
          </val>
        </ser>
        <ser>
          <idx val="13"/>
          <order val="13"/>
          <spPr>
            <a:ln xmlns:a="http://schemas.openxmlformats.org/drawingml/2006/main">
              <a:prstDash val="solid"/>
            </a:ln>
          </spPr>
          <marker>
            <symbol val="none"/>
            <spPr>
              <a:ln xmlns:a="http://schemas.openxmlformats.org/drawingml/2006/main">
                <a:prstDash val="solid"/>
              </a:ln>
            </spPr>
          </marker>
          <cat>
            <numRef>
              <f>'Mar'!$E$6:$AI$6</f>
            </numRef>
          </cat>
          <val>
            <numRef>
              <f>'Mar'!$R$32</f>
            </numRef>
          </val>
        </ser>
        <ser>
          <idx val="14"/>
          <order val="14"/>
          <spPr>
            <a:ln xmlns:a="http://schemas.openxmlformats.org/drawingml/2006/main">
              <a:prstDash val="solid"/>
            </a:ln>
          </spPr>
          <marker>
            <symbol val="none"/>
            <spPr>
              <a:ln xmlns:a="http://schemas.openxmlformats.org/drawingml/2006/main">
                <a:prstDash val="solid"/>
              </a:ln>
            </spPr>
          </marker>
          <cat>
            <numRef>
              <f>'Mar'!$E$6:$AI$6</f>
            </numRef>
          </cat>
          <val>
            <numRef>
              <f>'Mar'!$S$32</f>
            </numRef>
          </val>
        </ser>
        <ser>
          <idx val="15"/>
          <order val="15"/>
          <spPr>
            <a:ln xmlns:a="http://schemas.openxmlformats.org/drawingml/2006/main">
              <a:prstDash val="solid"/>
            </a:ln>
          </spPr>
          <marker>
            <symbol val="none"/>
            <spPr>
              <a:ln xmlns:a="http://schemas.openxmlformats.org/drawingml/2006/main">
                <a:prstDash val="solid"/>
              </a:ln>
            </spPr>
          </marker>
          <cat>
            <numRef>
              <f>'Mar'!$E$6:$AI$6</f>
            </numRef>
          </cat>
          <val>
            <numRef>
              <f>'Mar'!$T$32</f>
            </numRef>
          </val>
        </ser>
        <ser>
          <idx val="16"/>
          <order val="16"/>
          <spPr>
            <a:ln xmlns:a="http://schemas.openxmlformats.org/drawingml/2006/main">
              <a:prstDash val="solid"/>
            </a:ln>
          </spPr>
          <marker>
            <symbol val="none"/>
            <spPr>
              <a:ln xmlns:a="http://schemas.openxmlformats.org/drawingml/2006/main">
                <a:prstDash val="solid"/>
              </a:ln>
            </spPr>
          </marker>
          <cat>
            <numRef>
              <f>'Mar'!$E$6:$AI$6</f>
            </numRef>
          </cat>
          <val>
            <numRef>
              <f>'Mar'!$U$32</f>
            </numRef>
          </val>
        </ser>
        <ser>
          <idx val="17"/>
          <order val="17"/>
          <spPr>
            <a:ln xmlns:a="http://schemas.openxmlformats.org/drawingml/2006/main">
              <a:prstDash val="solid"/>
            </a:ln>
          </spPr>
          <marker>
            <symbol val="none"/>
            <spPr>
              <a:ln xmlns:a="http://schemas.openxmlformats.org/drawingml/2006/main">
                <a:prstDash val="solid"/>
              </a:ln>
            </spPr>
          </marker>
          <cat>
            <numRef>
              <f>'Mar'!$E$6:$AI$6</f>
            </numRef>
          </cat>
          <val>
            <numRef>
              <f>'Mar'!$V$32</f>
            </numRef>
          </val>
        </ser>
        <ser>
          <idx val="18"/>
          <order val="18"/>
          <spPr>
            <a:ln xmlns:a="http://schemas.openxmlformats.org/drawingml/2006/main">
              <a:prstDash val="solid"/>
            </a:ln>
          </spPr>
          <marker>
            <symbol val="none"/>
            <spPr>
              <a:ln xmlns:a="http://schemas.openxmlformats.org/drawingml/2006/main">
                <a:prstDash val="solid"/>
              </a:ln>
            </spPr>
          </marker>
          <cat>
            <numRef>
              <f>'Mar'!$E$6:$AI$6</f>
            </numRef>
          </cat>
          <val>
            <numRef>
              <f>'Mar'!$W$32</f>
            </numRef>
          </val>
        </ser>
        <ser>
          <idx val="19"/>
          <order val="19"/>
          <spPr>
            <a:ln xmlns:a="http://schemas.openxmlformats.org/drawingml/2006/main">
              <a:prstDash val="solid"/>
            </a:ln>
          </spPr>
          <marker>
            <symbol val="none"/>
            <spPr>
              <a:ln xmlns:a="http://schemas.openxmlformats.org/drawingml/2006/main">
                <a:prstDash val="solid"/>
              </a:ln>
            </spPr>
          </marker>
          <cat>
            <numRef>
              <f>'Mar'!$E$6:$AI$6</f>
            </numRef>
          </cat>
          <val>
            <numRef>
              <f>'Mar'!$X$32</f>
            </numRef>
          </val>
        </ser>
        <ser>
          <idx val="20"/>
          <order val="20"/>
          <spPr>
            <a:ln xmlns:a="http://schemas.openxmlformats.org/drawingml/2006/main">
              <a:prstDash val="solid"/>
            </a:ln>
          </spPr>
          <marker>
            <symbol val="none"/>
            <spPr>
              <a:ln xmlns:a="http://schemas.openxmlformats.org/drawingml/2006/main">
                <a:prstDash val="solid"/>
              </a:ln>
            </spPr>
          </marker>
          <cat>
            <numRef>
              <f>'Mar'!$E$6:$AI$6</f>
            </numRef>
          </cat>
          <val>
            <numRef>
              <f>'Mar'!$Y$32</f>
            </numRef>
          </val>
        </ser>
        <ser>
          <idx val="21"/>
          <order val="21"/>
          <spPr>
            <a:ln xmlns:a="http://schemas.openxmlformats.org/drawingml/2006/main">
              <a:prstDash val="solid"/>
            </a:ln>
          </spPr>
          <marker>
            <symbol val="none"/>
            <spPr>
              <a:ln xmlns:a="http://schemas.openxmlformats.org/drawingml/2006/main">
                <a:prstDash val="solid"/>
              </a:ln>
            </spPr>
          </marker>
          <cat>
            <numRef>
              <f>'Mar'!$E$6:$AI$6</f>
            </numRef>
          </cat>
          <val>
            <numRef>
              <f>'Mar'!$Z$32</f>
            </numRef>
          </val>
        </ser>
        <ser>
          <idx val="22"/>
          <order val="22"/>
          <spPr>
            <a:ln xmlns:a="http://schemas.openxmlformats.org/drawingml/2006/main">
              <a:prstDash val="solid"/>
            </a:ln>
          </spPr>
          <marker>
            <symbol val="none"/>
            <spPr>
              <a:ln xmlns:a="http://schemas.openxmlformats.org/drawingml/2006/main">
                <a:prstDash val="solid"/>
              </a:ln>
            </spPr>
          </marker>
          <cat>
            <numRef>
              <f>'Mar'!$E$6:$AI$6</f>
            </numRef>
          </cat>
          <val>
            <numRef>
              <f>'Mar'!$AA$32</f>
            </numRef>
          </val>
        </ser>
        <ser>
          <idx val="23"/>
          <order val="23"/>
          <spPr>
            <a:ln xmlns:a="http://schemas.openxmlformats.org/drawingml/2006/main">
              <a:prstDash val="solid"/>
            </a:ln>
          </spPr>
          <marker>
            <symbol val="none"/>
            <spPr>
              <a:ln xmlns:a="http://schemas.openxmlformats.org/drawingml/2006/main">
                <a:prstDash val="solid"/>
              </a:ln>
            </spPr>
          </marker>
          <cat>
            <numRef>
              <f>'Mar'!$E$6:$AI$6</f>
            </numRef>
          </cat>
          <val>
            <numRef>
              <f>'Mar'!$AB$32</f>
            </numRef>
          </val>
        </ser>
        <ser>
          <idx val="24"/>
          <order val="24"/>
          <spPr>
            <a:ln xmlns:a="http://schemas.openxmlformats.org/drawingml/2006/main">
              <a:prstDash val="solid"/>
            </a:ln>
          </spPr>
          <marker>
            <symbol val="none"/>
            <spPr>
              <a:ln xmlns:a="http://schemas.openxmlformats.org/drawingml/2006/main">
                <a:prstDash val="solid"/>
              </a:ln>
            </spPr>
          </marker>
          <cat>
            <numRef>
              <f>'Mar'!$E$6:$AI$6</f>
            </numRef>
          </cat>
          <val>
            <numRef>
              <f>'Mar'!$AC$32</f>
            </numRef>
          </val>
        </ser>
        <ser>
          <idx val="25"/>
          <order val="25"/>
          <spPr>
            <a:ln xmlns:a="http://schemas.openxmlformats.org/drawingml/2006/main">
              <a:prstDash val="solid"/>
            </a:ln>
          </spPr>
          <marker>
            <symbol val="none"/>
            <spPr>
              <a:ln xmlns:a="http://schemas.openxmlformats.org/drawingml/2006/main">
                <a:prstDash val="solid"/>
              </a:ln>
            </spPr>
          </marker>
          <cat>
            <numRef>
              <f>'Mar'!$E$6:$AI$6</f>
            </numRef>
          </cat>
          <val>
            <numRef>
              <f>'Mar'!$AD$32</f>
            </numRef>
          </val>
        </ser>
        <ser>
          <idx val="26"/>
          <order val="26"/>
          <spPr>
            <a:ln xmlns:a="http://schemas.openxmlformats.org/drawingml/2006/main">
              <a:prstDash val="solid"/>
            </a:ln>
          </spPr>
          <marker>
            <symbol val="none"/>
            <spPr>
              <a:ln xmlns:a="http://schemas.openxmlformats.org/drawingml/2006/main">
                <a:prstDash val="solid"/>
              </a:ln>
            </spPr>
          </marker>
          <cat>
            <numRef>
              <f>'Mar'!$E$6:$AI$6</f>
            </numRef>
          </cat>
          <val>
            <numRef>
              <f>'Mar'!$AE$32</f>
            </numRef>
          </val>
        </ser>
        <ser>
          <idx val="27"/>
          <order val="27"/>
          <spPr>
            <a:ln xmlns:a="http://schemas.openxmlformats.org/drawingml/2006/main">
              <a:prstDash val="solid"/>
            </a:ln>
          </spPr>
          <marker>
            <symbol val="none"/>
            <spPr>
              <a:ln xmlns:a="http://schemas.openxmlformats.org/drawingml/2006/main">
                <a:prstDash val="solid"/>
              </a:ln>
            </spPr>
          </marker>
          <cat>
            <numRef>
              <f>'Mar'!$E$6:$AI$6</f>
            </numRef>
          </cat>
          <val>
            <numRef>
              <f>'Mar'!$AF$32</f>
            </numRef>
          </val>
        </ser>
        <ser>
          <idx val="28"/>
          <order val="28"/>
          <spPr>
            <a:ln xmlns:a="http://schemas.openxmlformats.org/drawingml/2006/main">
              <a:prstDash val="solid"/>
            </a:ln>
          </spPr>
          <marker>
            <symbol val="none"/>
            <spPr>
              <a:ln xmlns:a="http://schemas.openxmlformats.org/drawingml/2006/main">
                <a:prstDash val="solid"/>
              </a:ln>
            </spPr>
          </marker>
          <cat>
            <numRef>
              <f>'Mar'!$E$6:$AI$6</f>
            </numRef>
          </cat>
          <val>
            <numRef>
              <f>'Mar'!$AG$32</f>
            </numRef>
          </val>
        </ser>
        <ser>
          <idx val="29"/>
          <order val="29"/>
          <spPr>
            <a:ln xmlns:a="http://schemas.openxmlformats.org/drawingml/2006/main">
              <a:prstDash val="solid"/>
            </a:ln>
          </spPr>
          <marker>
            <symbol val="none"/>
            <spPr>
              <a:ln xmlns:a="http://schemas.openxmlformats.org/drawingml/2006/main">
                <a:prstDash val="solid"/>
              </a:ln>
            </spPr>
          </marker>
          <cat>
            <numRef>
              <f>'Mar'!$E$6:$AI$6</f>
            </numRef>
          </cat>
          <val>
            <numRef>
              <f>'Mar'!$AH$32</f>
            </numRef>
          </val>
        </ser>
        <ser>
          <idx val="30"/>
          <order val="30"/>
          <spPr>
            <a:ln xmlns:a="http://schemas.openxmlformats.org/drawingml/2006/main">
              <a:prstDash val="solid"/>
            </a:ln>
          </spPr>
          <marker>
            <symbol val="none"/>
            <spPr>
              <a:ln xmlns:a="http://schemas.openxmlformats.org/drawingml/2006/main">
                <a:prstDash val="solid"/>
              </a:ln>
            </spPr>
          </marker>
          <cat>
            <numRef>
              <f>'Mar'!$E$6:$AI$6</f>
            </numRef>
          </cat>
          <val>
            <numRef>
              <f>'Mar'!$AI$32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Points</a:t>
                </a:r>
              </a:p>
            </rich>
          </tx>
        </title>
        <majorTickMark val="none"/>
        <minorTickMark val="none"/>
        <crossAx val="10"/>
      </valAx>
    </plotArea>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Good vs Bad (Daily Counts)</a:t>
            </a:r>
          </a:p>
        </rich>
      </tx>
    </title>
    <plotArea>
      <barChart>
        <barDir val="col"/>
        <grouping val="clustered"/>
        <ser>
          <idx val="0"/>
          <order val="0"/>
          <spPr>
            <a:ln xmlns:a="http://schemas.openxmlformats.org/drawingml/2006/main">
              <a:prstDash val="solid"/>
            </a:ln>
          </spPr>
          <cat>
            <numRef>
              <f>'Mar'!$E$6:$AI$6</f>
            </numRef>
          </cat>
          <val>
            <numRef>
              <f>'Mar'!$E$30:$AI$30</f>
            </numRef>
          </val>
        </ser>
        <ser>
          <idx val="1"/>
          <order val="1"/>
          <spPr>
            <a:ln xmlns:a="http://schemas.openxmlformats.org/drawingml/2006/main">
              <a:prstDash val="solid"/>
            </a:ln>
          </spPr>
          <cat>
            <numRef>
              <f>'Mar'!$E$6:$AI$6</f>
            </numRef>
          </cat>
          <val>
            <numRef>
              <f>'Mar'!$E$31:$AI$31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Daily Net Score</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'Apr'!$E$6:$AI$6</f>
            </numRef>
          </cat>
          <val>
            <numRef>
              <f>'Apr'!$E$32</f>
            </numRef>
          </val>
        </ser>
        <ser>
          <idx val="1"/>
          <order val="1"/>
          <spPr>
            <a:ln xmlns:a="http://schemas.openxmlformats.org/drawingml/2006/main">
              <a:prstDash val="solid"/>
            </a:ln>
          </spPr>
          <marker>
            <symbol val="none"/>
            <spPr>
              <a:ln xmlns:a="http://schemas.openxmlformats.org/drawingml/2006/main">
                <a:prstDash val="solid"/>
              </a:ln>
            </spPr>
          </marker>
          <cat>
            <numRef>
              <f>'Apr'!$E$6:$AI$6</f>
            </numRef>
          </cat>
          <val>
            <numRef>
              <f>'Apr'!$F$32</f>
            </numRef>
          </val>
        </ser>
        <ser>
          <idx val="2"/>
          <order val="2"/>
          <spPr>
            <a:ln xmlns:a="http://schemas.openxmlformats.org/drawingml/2006/main">
              <a:prstDash val="solid"/>
            </a:ln>
          </spPr>
          <marker>
            <symbol val="none"/>
            <spPr>
              <a:ln xmlns:a="http://schemas.openxmlformats.org/drawingml/2006/main">
                <a:prstDash val="solid"/>
              </a:ln>
            </spPr>
          </marker>
          <cat>
            <numRef>
              <f>'Apr'!$E$6:$AI$6</f>
            </numRef>
          </cat>
          <val>
            <numRef>
              <f>'Apr'!$G$32</f>
            </numRef>
          </val>
        </ser>
        <ser>
          <idx val="3"/>
          <order val="3"/>
          <spPr>
            <a:ln xmlns:a="http://schemas.openxmlformats.org/drawingml/2006/main">
              <a:prstDash val="solid"/>
            </a:ln>
          </spPr>
          <marker>
            <symbol val="none"/>
            <spPr>
              <a:ln xmlns:a="http://schemas.openxmlformats.org/drawingml/2006/main">
                <a:prstDash val="solid"/>
              </a:ln>
            </spPr>
          </marker>
          <cat>
            <numRef>
              <f>'Apr'!$E$6:$AI$6</f>
            </numRef>
          </cat>
          <val>
            <numRef>
              <f>'Apr'!$H$32</f>
            </numRef>
          </val>
        </ser>
        <ser>
          <idx val="4"/>
          <order val="4"/>
          <spPr>
            <a:ln xmlns:a="http://schemas.openxmlformats.org/drawingml/2006/main">
              <a:prstDash val="solid"/>
            </a:ln>
          </spPr>
          <marker>
            <symbol val="none"/>
            <spPr>
              <a:ln xmlns:a="http://schemas.openxmlformats.org/drawingml/2006/main">
                <a:prstDash val="solid"/>
              </a:ln>
            </spPr>
          </marker>
          <cat>
            <numRef>
              <f>'Apr'!$E$6:$AI$6</f>
            </numRef>
          </cat>
          <val>
            <numRef>
              <f>'Apr'!$I$32</f>
            </numRef>
          </val>
        </ser>
        <ser>
          <idx val="5"/>
          <order val="5"/>
          <spPr>
            <a:ln xmlns:a="http://schemas.openxmlformats.org/drawingml/2006/main">
              <a:prstDash val="solid"/>
            </a:ln>
          </spPr>
          <marker>
            <symbol val="none"/>
            <spPr>
              <a:ln xmlns:a="http://schemas.openxmlformats.org/drawingml/2006/main">
                <a:prstDash val="solid"/>
              </a:ln>
            </spPr>
          </marker>
          <cat>
            <numRef>
              <f>'Apr'!$E$6:$AI$6</f>
            </numRef>
          </cat>
          <val>
            <numRef>
              <f>'Apr'!$J$32</f>
            </numRef>
          </val>
        </ser>
        <ser>
          <idx val="6"/>
          <order val="6"/>
          <spPr>
            <a:ln xmlns:a="http://schemas.openxmlformats.org/drawingml/2006/main">
              <a:prstDash val="solid"/>
            </a:ln>
          </spPr>
          <marker>
            <symbol val="none"/>
            <spPr>
              <a:ln xmlns:a="http://schemas.openxmlformats.org/drawingml/2006/main">
                <a:prstDash val="solid"/>
              </a:ln>
            </spPr>
          </marker>
          <cat>
            <numRef>
              <f>'Apr'!$E$6:$AI$6</f>
            </numRef>
          </cat>
          <val>
            <numRef>
              <f>'Apr'!$K$32</f>
            </numRef>
          </val>
        </ser>
        <ser>
          <idx val="7"/>
          <order val="7"/>
          <spPr>
            <a:ln xmlns:a="http://schemas.openxmlformats.org/drawingml/2006/main">
              <a:prstDash val="solid"/>
            </a:ln>
          </spPr>
          <marker>
            <symbol val="none"/>
            <spPr>
              <a:ln xmlns:a="http://schemas.openxmlformats.org/drawingml/2006/main">
                <a:prstDash val="solid"/>
              </a:ln>
            </spPr>
          </marker>
          <cat>
            <numRef>
              <f>'Apr'!$E$6:$AI$6</f>
            </numRef>
          </cat>
          <val>
            <numRef>
              <f>'Apr'!$L$32</f>
            </numRef>
          </val>
        </ser>
        <ser>
          <idx val="8"/>
          <order val="8"/>
          <spPr>
            <a:ln xmlns:a="http://schemas.openxmlformats.org/drawingml/2006/main">
              <a:prstDash val="solid"/>
            </a:ln>
          </spPr>
          <marker>
            <symbol val="none"/>
            <spPr>
              <a:ln xmlns:a="http://schemas.openxmlformats.org/drawingml/2006/main">
                <a:prstDash val="solid"/>
              </a:ln>
            </spPr>
          </marker>
          <cat>
            <numRef>
              <f>'Apr'!$E$6:$AI$6</f>
            </numRef>
          </cat>
          <val>
            <numRef>
              <f>'Apr'!$M$32</f>
            </numRef>
          </val>
        </ser>
        <ser>
          <idx val="9"/>
          <order val="9"/>
          <spPr>
            <a:ln xmlns:a="http://schemas.openxmlformats.org/drawingml/2006/main">
              <a:prstDash val="solid"/>
            </a:ln>
          </spPr>
          <marker>
            <symbol val="none"/>
            <spPr>
              <a:ln xmlns:a="http://schemas.openxmlformats.org/drawingml/2006/main">
                <a:prstDash val="solid"/>
              </a:ln>
            </spPr>
          </marker>
          <cat>
            <numRef>
              <f>'Apr'!$E$6:$AI$6</f>
            </numRef>
          </cat>
          <val>
            <numRef>
              <f>'Apr'!$N$32</f>
            </numRef>
          </val>
        </ser>
        <ser>
          <idx val="10"/>
          <order val="10"/>
          <spPr>
            <a:ln xmlns:a="http://schemas.openxmlformats.org/drawingml/2006/main">
              <a:prstDash val="solid"/>
            </a:ln>
          </spPr>
          <marker>
            <symbol val="none"/>
            <spPr>
              <a:ln xmlns:a="http://schemas.openxmlformats.org/drawingml/2006/main">
                <a:prstDash val="solid"/>
              </a:ln>
            </spPr>
          </marker>
          <cat>
            <numRef>
              <f>'Apr'!$E$6:$AI$6</f>
            </numRef>
          </cat>
          <val>
            <numRef>
              <f>'Apr'!$O$32</f>
            </numRef>
          </val>
        </ser>
        <ser>
          <idx val="11"/>
          <order val="11"/>
          <spPr>
            <a:ln xmlns:a="http://schemas.openxmlformats.org/drawingml/2006/main">
              <a:prstDash val="solid"/>
            </a:ln>
          </spPr>
          <marker>
            <symbol val="none"/>
            <spPr>
              <a:ln xmlns:a="http://schemas.openxmlformats.org/drawingml/2006/main">
                <a:prstDash val="solid"/>
              </a:ln>
            </spPr>
          </marker>
          <cat>
            <numRef>
              <f>'Apr'!$E$6:$AI$6</f>
            </numRef>
          </cat>
          <val>
            <numRef>
              <f>'Apr'!$P$32</f>
            </numRef>
          </val>
        </ser>
        <ser>
          <idx val="12"/>
          <order val="12"/>
          <spPr>
            <a:ln xmlns:a="http://schemas.openxmlformats.org/drawingml/2006/main">
              <a:prstDash val="solid"/>
            </a:ln>
          </spPr>
          <marker>
            <symbol val="none"/>
            <spPr>
              <a:ln xmlns:a="http://schemas.openxmlformats.org/drawingml/2006/main">
                <a:prstDash val="solid"/>
              </a:ln>
            </spPr>
          </marker>
          <cat>
            <numRef>
              <f>'Apr'!$E$6:$AI$6</f>
            </numRef>
          </cat>
          <val>
            <numRef>
              <f>'Apr'!$Q$32</f>
            </numRef>
          </val>
        </ser>
        <ser>
          <idx val="13"/>
          <order val="13"/>
          <spPr>
            <a:ln xmlns:a="http://schemas.openxmlformats.org/drawingml/2006/main">
              <a:prstDash val="solid"/>
            </a:ln>
          </spPr>
          <marker>
            <symbol val="none"/>
            <spPr>
              <a:ln xmlns:a="http://schemas.openxmlformats.org/drawingml/2006/main">
                <a:prstDash val="solid"/>
              </a:ln>
            </spPr>
          </marker>
          <cat>
            <numRef>
              <f>'Apr'!$E$6:$AI$6</f>
            </numRef>
          </cat>
          <val>
            <numRef>
              <f>'Apr'!$R$32</f>
            </numRef>
          </val>
        </ser>
        <ser>
          <idx val="14"/>
          <order val="14"/>
          <spPr>
            <a:ln xmlns:a="http://schemas.openxmlformats.org/drawingml/2006/main">
              <a:prstDash val="solid"/>
            </a:ln>
          </spPr>
          <marker>
            <symbol val="none"/>
            <spPr>
              <a:ln xmlns:a="http://schemas.openxmlformats.org/drawingml/2006/main">
                <a:prstDash val="solid"/>
              </a:ln>
            </spPr>
          </marker>
          <cat>
            <numRef>
              <f>'Apr'!$E$6:$AI$6</f>
            </numRef>
          </cat>
          <val>
            <numRef>
              <f>'Apr'!$S$32</f>
            </numRef>
          </val>
        </ser>
        <ser>
          <idx val="15"/>
          <order val="15"/>
          <spPr>
            <a:ln xmlns:a="http://schemas.openxmlformats.org/drawingml/2006/main">
              <a:prstDash val="solid"/>
            </a:ln>
          </spPr>
          <marker>
            <symbol val="none"/>
            <spPr>
              <a:ln xmlns:a="http://schemas.openxmlformats.org/drawingml/2006/main">
                <a:prstDash val="solid"/>
              </a:ln>
            </spPr>
          </marker>
          <cat>
            <numRef>
              <f>'Apr'!$E$6:$AI$6</f>
            </numRef>
          </cat>
          <val>
            <numRef>
              <f>'Apr'!$T$32</f>
            </numRef>
          </val>
        </ser>
        <ser>
          <idx val="16"/>
          <order val="16"/>
          <spPr>
            <a:ln xmlns:a="http://schemas.openxmlformats.org/drawingml/2006/main">
              <a:prstDash val="solid"/>
            </a:ln>
          </spPr>
          <marker>
            <symbol val="none"/>
            <spPr>
              <a:ln xmlns:a="http://schemas.openxmlformats.org/drawingml/2006/main">
                <a:prstDash val="solid"/>
              </a:ln>
            </spPr>
          </marker>
          <cat>
            <numRef>
              <f>'Apr'!$E$6:$AI$6</f>
            </numRef>
          </cat>
          <val>
            <numRef>
              <f>'Apr'!$U$32</f>
            </numRef>
          </val>
        </ser>
        <ser>
          <idx val="17"/>
          <order val="17"/>
          <spPr>
            <a:ln xmlns:a="http://schemas.openxmlformats.org/drawingml/2006/main">
              <a:prstDash val="solid"/>
            </a:ln>
          </spPr>
          <marker>
            <symbol val="none"/>
            <spPr>
              <a:ln xmlns:a="http://schemas.openxmlformats.org/drawingml/2006/main">
                <a:prstDash val="solid"/>
              </a:ln>
            </spPr>
          </marker>
          <cat>
            <numRef>
              <f>'Apr'!$E$6:$AI$6</f>
            </numRef>
          </cat>
          <val>
            <numRef>
              <f>'Apr'!$V$32</f>
            </numRef>
          </val>
        </ser>
        <ser>
          <idx val="18"/>
          <order val="18"/>
          <spPr>
            <a:ln xmlns:a="http://schemas.openxmlformats.org/drawingml/2006/main">
              <a:prstDash val="solid"/>
            </a:ln>
          </spPr>
          <marker>
            <symbol val="none"/>
            <spPr>
              <a:ln xmlns:a="http://schemas.openxmlformats.org/drawingml/2006/main">
                <a:prstDash val="solid"/>
              </a:ln>
            </spPr>
          </marker>
          <cat>
            <numRef>
              <f>'Apr'!$E$6:$AI$6</f>
            </numRef>
          </cat>
          <val>
            <numRef>
              <f>'Apr'!$W$32</f>
            </numRef>
          </val>
        </ser>
        <ser>
          <idx val="19"/>
          <order val="19"/>
          <spPr>
            <a:ln xmlns:a="http://schemas.openxmlformats.org/drawingml/2006/main">
              <a:prstDash val="solid"/>
            </a:ln>
          </spPr>
          <marker>
            <symbol val="none"/>
            <spPr>
              <a:ln xmlns:a="http://schemas.openxmlformats.org/drawingml/2006/main">
                <a:prstDash val="solid"/>
              </a:ln>
            </spPr>
          </marker>
          <cat>
            <numRef>
              <f>'Apr'!$E$6:$AI$6</f>
            </numRef>
          </cat>
          <val>
            <numRef>
              <f>'Apr'!$X$32</f>
            </numRef>
          </val>
        </ser>
        <ser>
          <idx val="20"/>
          <order val="20"/>
          <spPr>
            <a:ln xmlns:a="http://schemas.openxmlformats.org/drawingml/2006/main">
              <a:prstDash val="solid"/>
            </a:ln>
          </spPr>
          <marker>
            <symbol val="none"/>
            <spPr>
              <a:ln xmlns:a="http://schemas.openxmlformats.org/drawingml/2006/main">
                <a:prstDash val="solid"/>
              </a:ln>
            </spPr>
          </marker>
          <cat>
            <numRef>
              <f>'Apr'!$E$6:$AI$6</f>
            </numRef>
          </cat>
          <val>
            <numRef>
              <f>'Apr'!$Y$32</f>
            </numRef>
          </val>
        </ser>
        <ser>
          <idx val="21"/>
          <order val="21"/>
          <spPr>
            <a:ln xmlns:a="http://schemas.openxmlformats.org/drawingml/2006/main">
              <a:prstDash val="solid"/>
            </a:ln>
          </spPr>
          <marker>
            <symbol val="none"/>
            <spPr>
              <a:ln xmlns:a="http://schemas.openxmlformats.org/drawingml/2006/main">
                <a:prstDash val="solid"/>
              </a:ln>
            </spPr>
          </marker>
          <cat>
            <numRef>
              <f>'Apr'!$E$6:$AI$6</f>
            </numRef>
          </cat>
          <val>
            <numRef>
              <f>'Apr'!$Z$32</f>
            </numRef>
          </val>
        </ser>
        <ser>
          <idx val="22"/>
          <order val="22"/>
          <spPr>
            <a:ln xmlns:a="http://schemas.openxmlformats.org/drawingml/2006/main">
              <a:prstDash val="solid"/>
            </a:ln>
          </spPr>
          <marker>
            <symbol val="none"/>
            <spPr>
              <a:ln xmlns:a="http://schemas.openxmlformats.org/drawingml/2006/main">
                <a:prstDash val="solid"/>
              </a:ln>
            </spPr>
          </marker>
          <cat>
            <numRef>
              <f>'Apr'!$E$6:$AI$6</f>
            </numRef>
          </cat>
          <val>
            <numRef>
              <f>'Apr'!$AA$32</f>
            </numRef>
          </val>
        </ser>
        <ser>
          <idx val="23"/>
          <order val="23"/>
          <spPr>
            <a:ln xmlns:a="http://schemas.openxmlformats.org/drawingml/2006/main">
              <a:prstDash val="solid"/>
            </a:ln>
          </spPr>
          <marker>
            <symbol val="none"/>
            <spPr>
              <a:ln xmlns:a="http://schemas.openxmlformats.org/drawingml/2006/main">
                <a:prstDash val="solid"/>
              </a:ln>
            </spPr>
          </marker>
          <cat>
            <numRef>
              <f>'Apr'!$E$6:$AI$6</f>
            </numRef>
          </cat>
          <val>
            <numRef>
              <f>'Apr'!$AB$32</f>
            </numRef>
          </val>
        </ser>
        <ser>
          <idx val="24"/>
          <order val="24"/>
          <spPr>
            <a:ln xmlns:a="http://schemas.openxmlformats.org/drawingml/2006/main">
              <a:prstDash val="solid"/>
            </a:ln>
          </spPr>
          <marker>
            <symbol val="none"/>
            <spPr>
              <a:ln xmlns:a="http://schemas.openxmlformats.org/drawingml/2006/main">
                <a:prstDash val="solid"/>
              </a:ln>
            </spPr>
          </marker>
          <cat>
            <numRef>
              <f>'Apr'!$E$6:$AI$6</f>
            </numRef>
          </cat>
          <val>
            <numRef>
              <f>'Apr'!$AC$32</f>
            </numRef>
          </val>
        </ser>
        <ser>
          <idx val="25"/>
          <order val="25"/>
          <spPr>
            <a:ln xmlns:a="http://schemas.openxmlformats.org/drawingml/2006/main">
              <a:prstDash val="solid"/>
            </a:ln>
          </spPr>
          <marker>
            <symbol val="none"/>
            <spPr>
              <a:ln xmlns:a="http://schemas.openxmlformats.org/drawingml/2006/main">
                <a:prstDash val="solid"/>
              </a:ln>
            </spPr>
          </marker>
          <cat>
            <numRef>
              <f>'Apr'!$E$6:$AI$6</f>
            </numRef>
          </cat>
          <val>
            <numRef>
              <f>'Apr'!$AD$32</f>
            </numRef>
          </val>
        </ser>
        <ser>
          <idx val="26"/>
          <order val="26"/>
          <spPr>
            <a:ln xmlns:a="http://schemas.openxmlformats.org/drawingml/2006/main">
              <a:prstDash val="solid"/>
            </a:ln>
          </spPr>
          <marker>
            <symbol val="none"/>
            <spPr>
              <a:ln xmlns:a="http://schemas.openxmlformats.org/drawingml/2006/main">
                <a:prstDash val="solid"/>
              </a:ln>
            </spPr>
          </marker>
          <cat>
            <numRef>
              <f>'Apr'!$E$6:$AI$6</f>
            </numRef>
          </cat>
          <val>
            <numRef>
              <f>'Apr'!$AE$32</f>
            </numRef>
          </val>
        </ser>
        <ser>
          <idx val="27"/>
          <order val="27"/>
          <spPr>
            <a:ln xmlns:a="http://schemas.openxmlformats.org/drawingml/2006/main">
              <a:prstDash val="solid"/>
            </a:ln>
          </spPr>
          <marker>
            <symbol val="none"/>
            <spPr>
              <a:ln xmlns:a="http://schemas.openxmlformats.org/drawingml/2006/main">
                <a:prstDash val="solid"/>
              </a:ln>
            </spPr>
          </marker>
          <cat>
            <numRef>
              <f>'Apr'!$E$6:$AI$6</f>
            </numRef>
          </cat>
          <val>
            <numRef>
              <f>'Apr'!$AF$32</f>
            </numRef>
          </val>
        </ser>
        <ser>
          <idx val="28"/>
          <order val="28"/>
          <spPr>
            <a:ln xmlns:a="http://schemas.openxmlformats.org/drawingml/2006/main">
              <a:prstDash val="solid"/>
            </a:ln>
          </spPr>
          <marker>
            <symbol val="none"/>
            <spPr>
              <a:ln xmlns:a="http://schemas.openxmlformats.org/drawingml/2006/main">
                <a:prstDash val="solid"/>
              </a:ln>
            </spPr>
          </marker>
          <cat>
            <numRef>
              <f>'Apr'!$E$6:$AI$6</f>
            </numRef>
          </cat>
          <val>
            <numRef>
              <f>'Apr'!$AG$32</f>
            </numRef>
          </val>
        </ser>
        <ser>
          <idx val="29"/>
          <order val="29"/>
          <spPr>
            <a:ln xmlns:a="http://schemas.openxmlformats.org/drawingml/2006/main">
              <a:prstDash val="solid"/>
            </a:ln>
          </spPr>
          <marker>
            <symbol val="none"/>
            <spPr>
              <a:ln xmlns:a="http://schemas.openxmlformats.org/drawingml/2006/main">
                <a:prstDash val="solid"/>
              </a:ln>
            </spPr>
          </marker>
          <cat>
            <numRef>
              <f>'Apr'!$E$6:$AI$6</f>
            </numRef>
          </cat>
          <val>
            <numRef>
              <f>'Apr'!$AH$32</f>
            </numRef>
          </val>
        </ser>
        <ser>
          <idx val="30"/>
          <order val="30"/>
          <spPr>
            <a:ln xmlns:a="http://schemas.openxmlformats.org/drawingml/2006/main">
              <a:prstDash val="solid"/>
            </a:ln>
          </spPr>
          <marker>
            <symbol val="none"/>
            <spPr>
              <a:ln xmlns:a="http://schemas.openxmlformats.org/drawingml/2006/main">
                <a:prstDash val="solid"/>
              </a:ln>
            </spPr>
          </marker>
          <cat>
            <numRef>
              <f>'Apr'!$E$6:$AI$6</f>
            </numRef>
          </cat>
          <val>
            <numRef>
              <f>'Apr'!$AI$32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Points</a:t>
                </a:r>
              </a:p>
            </rich>
          </tx>
        </title>
        <majorTickMark val="none"/>
        <minorTickMark val="none"/>
        <crossAx val="10"/>
      </valAx>
    </plotArea>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Good vs Bad (Daily Counts)</a:t>
            </a:r>
          </a:p>
        </rich>
      </tx>
    </title>
    <plotArea>
      <barChart>
        <barDir val="col"/>
        <grouping val="clustered"/>
        <ser>
          <idx val="0"/>
          <order val="0"/>
          <spPr>
            <a:ln xmlns:a="http://schemas.openxmlformats.org/drawingml/2006/main">
              <a:prstDash val="solid"/>
            </a:ln>
          </spPr>
          <cat>
            <numRef>
              <f>'Apr'!$E$6:$AI$6</f>
            </numRef>
          </cat>
          <val>
            <numRef>
              <f>'Apr'!$E$30:$AI$30</f>
            </numRef>
          </val>
        </ser>
        <ser>
          <idx val="1"/>
          <order val="1"/>
          <spPr>
            <a:ln xmlns:a="http://schemas.openxmlformats.org/drawingml/2006/main">
              <a:prstDash val="solid"/>
            </a:ln>
          </spPr>
          <cat>
            <numRef>
              <f>'Apr'!$E$6:$AI$6</f>
            </numRef>
          </cat>
          <val>
            <numRef>
              <f>'Apr'!$E$31:$AI$31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Daily Net Score</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'May'!$E$6:$AI$6</f>
            </numRef>
          </cat>
          <val>
            <numRef>
              <f>'May'!$E$32</f>
            </numRef>
          </val>
        </ser>
        <ser>
          <idx val="1"/>
          <order val="1"/>
          <spPr>
            <a:ln xmlns:a="http://schemas.openxmlformats.org/drawingml/2006/main">
              <a:prstDash val="solid"/>
            </a:ln>
          </spPr>
          <marker>
            <symbol val="none"/>
            <spPr>
              <a:ln xmlns:a="http://schemas.openxmlformats.org/drawingml/2006/main">
                <a:prstDash val="solid"/>
              </a:ln>
            </spPr>
          </marker>
          <cat>
            <numRef>
              <f>'May'!$E$6:$AI$6</f>
            </numRef>
          </cat>
          <val>
            <numRef>
              <f>'May'!$F$32</f>
            </numRef>
          </val>
        </ser>
        <ser>
          <idx val="2"/>
          <order val="2"/>
          <spPr>
            <a:ln xmlns:a="http://schemas.openxmlformats.org/drawingml/2006/main">
              <a:prstDash val="solid"/>
            </a:ln>
          </spPr>
          <marker>
            <symbol val="none"/>
            <spPr>
              <a:ln xmlns:a="http://schemas.openxmlformats.org/drawingml/2006/main">
                <a:prstDash val="solid"/>
              </a:ln>
            </spPr>
          </marker>
          <cat>
            <numRef>
              <f>'May'!$E$6:$AI$6</f>
            </numRef>
          </cat>
          <val>
            <numRef>
              <f>'May'!$G$32</f>
            </numRef>
          </val>
        </ser>
        <ser>
          <idx val="3"/>
          <order val="3"/>
          <spPr>
            <a:ln xmlns:a="http://schemas.openxmlformats.org/drawingml/2006/main">
              <a:prstDash val="solid"/>
            </a:ln>
          </spPr>
          <marker>
            <symbol val="none"/>
            <spPr>
              <a:ln xmlns:a="http://schemas.openxmlformats.org/drawingml/2006/main">
                <a:prstDash val="solid"/>
              </a:ln>
            </spPr>
          </marker>
          <cat>
            <numRef>
              <f>'May'!$E$6:$AI$6</f>
            </numRef>
          </cat>
          <val>
            <numRef>
              <f>'May'!$H$32</f>
            </numRef>
          </val>
        </ser>
        <ser>
          <idx val="4"/>
          <order val="4"/>
          <spPr>
            <a:ln xmlns:a="http://schemas.openxmlformats.org/drawingml/2006/main">
              <a:prstDash val="solid"/>
            </a:ln>
          </spPr>
          <marker>
            <symbol val="none"/>
            <spPr>
              <a:ln xmlns:a="http://schemas.openxmlformats.org/drawingml/2006/main">
                <a:prstDash val="solid"/>
              </a:ln>
            </spPr>
          </marker>
          <cat>
            <numRef>
              <f>'May'!$E$6:$AI$6</f>
            </numRef>
          </cat>
          <val>
            <numRef>
              <f>'May'!$I$32</f>
            </numRef>
          </val>
        </ser>
        <ser>
          <idx val="5"/>
          <order val="5"/>
          <spPr>
            <a:ln xmlns:a="http://schemas.openxmlformats.org/drawingml/2006/main">
              <a:prstDash val="solid"/>
            </a:ln>
          </spPr>
          <marker>
            <symbol val="none"/>
            <spPr>
              <a:ln xmlns:a="http://schemas.openxmlformats.org/drawingml/2006/main">
                <a:prstDash val="solid"/>
              </a:ln>
            </spPr>
          </marker>
          <cat>
            <numRef>
              <f>'May'!$E$6:$AI$6</f>
            </numRef>
          </cat>
          <val>
            <numRef>
              <f>'May'!$J$32</f>
            </numRef>
          </val>
        </ser>
        <ser>
          <idx val="6"/>
          <order val="6"/>
          <spPr>
            <a:ln xmlns:a="http://schemas.openxmlformats.org/drawingml/2006/main">
              <a:prstDash val="solid"/>
            </a:ln>
          </spPr>
          <marker>
            <symbol val="none"/>
            <spPr>
              <a:ln xmlns:a="http://schemas.openxmlformats.org/drawingml/2006/main">
                <a:prstDash val="solid"/>
              </a:ln>
            </spPr>
          </marker>
          <cat>
            <numRef>
              <f>'May'!$E$6:$AI$6</f>
            </numRef>
          </cat>
          <val>
            <numRef>
              <f>'May'!$K$32</f>
            </numRef>
          </val>
        </ser>
        <ser>
          <idx val="7"/>
          <order val="7"/>
          <spPr>
            <a:ln xmlns:a="http://schemas.openxmlformats.org/drawingml/2006/main">
              <a:prstDash val="solid"/>
            </a:ln>
          </spPr>
          <marker>
            <symbol val="none"/>
            <spPr>
              <a:ln xmlns:a="http://schemas.openxmlformats.org/drawingml/2006/main">
                <a:prstDash val="solid"/>
              </a:ln>
            </spPr>
          </marker>
          <cat>
            <numRef>
              <f>'May'!$E$6:$AI$6</f>
            </numRef>
          </cat>
          <val>
            <numRef>
              <f>'May'!$L$32</f>
            </numRef>
          </val>
        </ser>
        <ser>
          <idx val="8"/>
          <order val="8"/>
          <spPr>
            <a:ln xmlns:a="http://schemas.openxmlformats.org/drawingml/2006/main">
              <a:prstDash val="solid"/>
            </a:ln>
          </spPr>
          <marker>
            <symbol val="none"/>
            <spPr>
              <a:ln xmlns:a="http://schemas.openxmlformats.org/drawingml/2006/main">
                <a:prstDash val="solid"/>
              </a:ln>
            </spPr>
          </marker>
          <cat>
            <numRef>
              <f>'May'!$E$6:$AI$6</f>
            </numRef>
          </cat>
          <val>
            <numRef>
              <f>'May'!$M$32</f>
            </numRef>
          </val>
        </ser>
        <ser>
          <idx val="9"/>
          <order val="9"/>
          <spPr>
            <a:ln xmlns:a="http://schemas.openxmlformats.org/drawingml/2006/main">
              <a:prstDash val="solid"/>
            </a:ln>
          </spPr>
          <marker>
            <symbol val="none"/>
            <spPr>
              <a:ln xmlns:a="http://schemas.openxmlformats.org/drawingml/2006/main">
                <a:prstDash val="solid"/>
              </a:ln>
            </spPr>
          </marker>
          <cat>
            <numRef>
              <f>'May'!$E$6:$AI$6</f>
            </numRef>
          </cat>
          <val>
            <numRef>
              <f>'May'!$N$32</f>
            </numRef>
          </val>
        </ser>
        <ser>
          <idx val="10"/>
          <order val="10"/>
          <spPr>
            <a:ln xmlns:a="http://schemas.openxmlformats.org/drawingml/2006/main">
              <a:prstDash val="solid"/>
            </a:ln>
          </spPr>
          <marker>
            <symbol val="none"/>
            <spPr>
              <a:ln xmlns:a="http://schemas.openxmlformats.org/drawingml/2006/main">
                <a:prstDash val="solid"/>
              </a:ln>
            </spPr>
          </marker>
          <cat>
            <numRef>
              <f>'May'!$E$6:$AI$6</f>
            </numRef>
          </cat>
          <val>
            <numRef>
              <f>'May'!$O$32</f>
            </numRef>
          </val>
        </ser>
        <ser>
          <idx val="11"/>
          <order val="11"/>
          <spPr>
            <a:ln xmlns:a="http://schemas.openxmlformats.org/drawingml/2006/main">
              <a:prstDash val="solid"/>
            </a:ln>
          </spPr>
          <marker>
            <symbol val="none"/>
            <spPr>
              <a:ln xmlns:a="http://schemas.openxmlformats.org/drawingml/2006/main">
                <a:prstDash val="solid"/>
              </a:ln>
            </spPr>
          </marker>
          <cat>
            <numRef>
              <f>'May'!$E$6:$AI$6</f>
            </numRef>
          </cat>
          <val>
            <numRef>
              <f>'May'!$P$32</f>
            </numRef>
          </val>
        </ser>
        <ser>
          <idx val="12"/>
          <order val="12"/>
          <spPr>
            <a:ln xmlns:a="http://schemas.openxmlformats.org/drawingml/2006/main">
              <a:prstDash val="solid"/>
            </a:ln>
          </spPr>
          <marker>
            <symbol val="none"/>
            <spPr>
              <a:ln xmlns:a="http://schemas.openxmlformats.org/drawingml/2006/main">
                <a:prstDash val="solid"/>
              </a:ln>
            </spPr>
          </marker>
          <cat>
            <numRef>
              <f>'May'!$E$6:$AI$6</f>
            </numRef>
          </cat>
          <val>
            <numRef>
              <f>'May'!$Q$32</f>
            </numRef>
          </val>
        </ser>
        <ser>
          <idx val="13"/>
          <order val="13"/>
          <spPr>
            <a:ln xmlns:a="http://schemas.openxmlformats.org/drawingml/2006/main">
              <a:prstDash val="solid"/>
            </a:ln>
          </spPr>
          <marker>
            <symbol val="none"/>
            <spPr>
              <a:ln xmlns:a="http://schemas.openxmlformats.org/drawingml/2006/main">
                <a:prstDash val="solid"/>
              </a:ln>
            </spPr>
          </marker>
          <cat>
            <numRef>
              <f>'May'!$E$6:$AI$6</f>
            </numRef>
          </cat>
          <val>
            <numRef>
              <f>'May'!$R$32</f>
            </numRef>
          </val>
        </ser>
        <ser>
          <idx val="14"/>
          <order val="14"/>
          <spPr>
            <a:ln xmlns:a="http://schemas.openxmlformats.org/drawingml/2006/main">
              <a:prstDash val="solid"/>
            </a:ln>
          </spPr>
          <marker>
            <symbol val="none"/>
            <spPr>
              <a:ln xmlns:a="http://schemas.openxmlformats.org/drawingml/2006/main">
                <a:prstDash val="solid"/>
              </a:ln>
            </spPr>
          </marker>
          <cat>
            <numRef>
              <f>'May'!$E$6:$AI$6</f>
            </numRef>
          </cat>
          <val>
            <numRef>
              <f>'May'!$S$32</f>
            </numRef>
          </val>
        </ser>
        <ser>
          <idx val="15"/>
          <order val="15"/>
          <spPr>
            <a:ln xmlns:a="http://schemas.openxmlformats.org/drawingml/2006/main">
              <a:prstDash val="solid"/>
            </a:ln>
          </spPr>
          <marker>
            <symbol val="none"/>
            <spPr>
              <a:ln xmlns:a="http://schemas.openxmlformats.org/drawingml/2006/main">
                <a:prstDash val="solid"/>
              </a:ln>
            </spPr>
          </marker>
          <cat>
            <numRef>
              <f>'May'!$E$6:$AI$6</f>
            </numRef>
          </cat>
          <val>
            <numRef>
              <f>'May'!$T$32</f>
            </numRef>
          </val>
        </ser>
        <ser>
          <idx val="16"/>
          <order val="16"/>
          <spPr>
            <a:ln xmlns:a="http://schemas.openxmlformats.org/drawingml/2006/main">
              <a:prstDash val="solid"/>
            </a:ln>
          </spPr>
          <marker>
            <symbol val="none"/>
            <spPr>
              <a:ln xmlns:a="http://schemas.openxmlformats.org/drawingml/2006/main">
                <a:prstDash val="solid"/>
              </a:ln>
            </spPr>
          </marker>
          <cat>
            <numRef>
              <f>'May'!$E$6:$AI$6</f>
            </numRef>
          </cat>
          <val>
            <numRef>
              <f>'May'!$U$32</f>
            </numRef>
          </val>
        </ser>
        <ser>
          <idx val="17"/>
          <order val="17"/>
          <spPr>
            <a:ln xmlns:a="http://schemas.openxmlformats.org/drawingml/2006/main">
              <a:prstDash val="solid"/>
            </a:ln>
          </spPr>
          <marker>
            <symbol val="none"/>
            <spPr>
              <a:ln xmlns:a="http://schemas.openxmlformats.org/drawingml/2006/main">
                <a:prstDash val="solid"/>
              </a:ln>
            </spPr>
          </marker>
          <cat>
            <numRef>
              <f>'May'!$E$6:$AI$6</f>
            </numRef>
          </cat>
          <val>
            <numRef>
              <f>'May'!$V$32</f>
            </numRef>
          </val>
        </ser>
        <ser>
          <idx val="18"/>
          <order val="18"/>
          <spPr>
            <a:ln xmlns:a="http://schemas.openxmlformats.org/drawingml/2006/main">
              <a:prstDash val="solid"/>
            </a:ln>
          </spPr>
          <marker>
            <symbol val="none"/>
            <spPr>
              <a:ln xmlns:a="http://schemas.openxmlformats.org/drawingml/2006/main">
                <a:prstDash val="solid"/>
              </a:ln>
            </spPr>
          </marker>
          <cat>
            <numRef>
              <f>'May'!$E$6:$AI$6</f>
            </numRef>
          </cat>
          <val>
            <numRef>
              <f>'May'!$W$32</f>
            </numRef>
          </val>
        </ser>
        <ser>
          <idx val="19"/>
          <order val="19"/>
          <spPr>
            <a:ln xmlns:a="http://schemas.openxmlformats.org/drawingml/2006/main">
              <a:prstDash val="solid"/>
            </a:ln>
          </spPr>
          <marker>
            <symbol val="none"/>
            <spPr>
              <a:ln xmlns:a="http://schemas.openxmlformats.org/drawingml/2006/main">
                <a:prstDash val="solid"/>
              </a:ln>
            </spPr>
          </marker>
          <cat>
            <numRef>
              <f>'May'!$E$6:$AI$6</f>
            </numRef>
          </cat>
          <val>
            <numRef>
              <f>'May'!$X$32</f>
            </numRef>
          </val>
        </ser>
        <ser>
          <idx val="20"/>
          <order val="20"/>
          <spPr>
            <a:ln xmlns:a="http://schemas.openxmlformats.org/drawingml/2006/main">
              <a:prstDash val="solid"/>
            </a:ln>
          </spPr>
          <marker>
            <symbol val="none"/>
            <spPr>
              <a:ln xmlns:a="http://schemas.openxmlformats.org/drawingml/2006/main">
                <a:prstDash val="solid"/>
              </a:ln>
            </spPr>
          </marker>
          <cat>
            <numRef>
              <f>'May'!$E$6:$AI$6</f>
            </numRef>
          </cat>
          <val>
            <numRef>
              <f>'May'!$Y$32</f>
            </numRef>
          </val>
        </ser>
        <ser>
          <idx val="21"/>
          <order val="21"/>
          <spPr>
            <a:ln xmlns:a="http://schemas.openxmlformats.org/drawingml/2006/main">
              <a:prstDash val="solid"/>
            </a:ln>
          </spPr>
          <marker>
            <symbol val="none"/>
            <spPr>
              <a:ln xmlns:a="http://schemas.openxmlformats.org/drawingml/2006/main">
                <a:prstDash val="solid"/>
              </a:ln>
            </spPr>
          </marker>
          <cat>
            <numRef>
              <f>'May'!$E$6:$AI$6</f>
            </numRef>
          </cat>
          <val>
            <numRef>
              <f>'May'!$Z$32</f>
            </numRef>
          </val>
        </ser>
        <ser>
          <idx val="22"/>
          <order val="22"/>
          <spPr>
            <a:ln xmlns:a="http://schemas.openxmlformats.org/drawingml/2006/main">
              <a:prstDash val="solid"/>
            </a:ln>
          </spPr>
          <marker>
            <symbol val="none"/>
            <spPr>
              <a:ln xmlns:a="http://schemas.openxmlformats.org/drawingml/2006/main">
                <a:prstDash val="solid"/>
              </a:ln>
            </spPr>
          </marker>
          <cat>
            <numRef>
              <f>'May'!$E$6:$AI$6</f>
            </numRef>
          </cat>
          <val>
            <numRef>
              <f>'May'!$AA$32</f>
            </numRef>
          </val>
        </ser>
        <ser>
          <idx val="23"/>
          <order val="23"/>
          <spPr>
            <a:ln xmlns:a="http://schemas.openxmlformats.org/drawingml/2006/main">
              <a:prstDash val="solid"/>
            </a:ln>
          </spPr>
          <marker>
            <symbol val="none"/>
            <spPr>
              <a:ln xmlns:a="http://schemas.openxmlformats.org/drawingml/2006/main">
                <a:prstDash val="solid"/>
              </a:ln>
            </spPr>
          </marker>
          <cat>
            <numRef>
              <f>'May'!$E$6:$AI$6</f>
            </numRef>
          </cat>
          <val>
            <numRef>
              <f>'May'!$AB$32</f>
            </numRef>
          </val>
        </ser>
        <ser>
          <idx val="24"/>
          <order val="24"/>
          <spPr>
            <a:ln xmlns:a="http://schemas.openxmlformats.org/drawingml/2006/main">
              <a:prstDash val="solid"/>
            </a:ln>
          </spPr>
          <marker>
            <symbol val="none"/>
            <spPr>
              <a:ln xmlns:a="http://schemas.openxmlformats.org/drawingml/2006/main">
                <a:prstDash val="solid"/>
              </a:ln>
            </spPr>
          </marker>
          <cat>
            <numRef>
              <f>'May'!$E$6:$AI$6</f>
            </numRef>
          </cat>
          <val>
            <numRef>
              <f>'May'!$AC$32</f>
            </numRef>
          </val>
        </ser>
        <ser>
          <idx val="25"/>
          <order val="25"/>
          <spPr>
            <a:ln xmlns:a="http://schemas.openxmlformats.org/drawingml/2006/main">
              <a:prstDash val="solid"/>
            </a:ln>
          </spPr>
          <marker>
            <symbol val="none"/>
            <spPr>
              <a:ln xmlns:a="http://schemas.openxmlformats.org/drawingml/2006/main">
                <a:prstDash val="solid"/>
              </a:ln>
            </spPr>
          </marker>
          <cat>
            <numRef>
              <f>'May'!$E$6:$AI$6</f>
            </numRef>
          </cat>
          <val>
            <numRef>
              <f>'May'!$AD$32</f>
            </numRef>
          </val>
        </ser>
        <ser>
          <idx val="26"/>
          <order val="26"/>
          <spPr>
            <a:ln xmlns:a="http://schemas.openxmlformats.org/drawingml/2006/main">
              <a:prstDash val="solid"/>
            </a:ln>
          </spPr>
          <marker>
            <symbol val="none"/>
            <spPr>
              <a:ln xmlns:a="http://schemas.openxmlformats.org/drawingml/2006/main">
                <a:prstDash val="solid"/>
              </a:ln>
            </spPr>
          </marker>
          <cat>
            <numRef>
              <f>'May'!$E$6:$AI$6</f>
            </numRef>
          </cat>
          <val>
            <numRef>
              <f>'May'!$AE$32</f>
            </numRef>
          </val>
        </ser>
        <ser>
          <idx val="27"/>
          <order val="27"/>
          <spPr>
            <a:ln xmlns:a="http://schemas.openxmlformats.org/drawingml/2006/main">
              <a:prstDash val="solid"/>
            </a:ln>
          </spPr>
          <marker>
            <symbol val="none"/>
            <spPr>
              <a:ln xmlns:a="http://schemas.openxmlformats.org/drawingml/2006/main">
                <a:prstDash val="solid"/>
              </a:ln>
            </spPr>
          </marker>
          <cat>
            <numRef>
              <f>'May'!$E$6:$AI$6</f>
            </numRef>
          </cat>
          <val>
            <numRef>
              <f>'May'!$AF$32</f>
            </numRef>
          </val>
        </ser>
        <ser>
          <idx val="28"/>
          <order val="28"/>
          <spPr>
            <a:ln xmlns:a="http://schemas.openxmlformats.org/drawingml/2006/main">
              <a:prstDash val="solid"/>
            </a:ln>
          </spPr>
          <marker>
            <symbol val="none"/>
            <spPr>
              <a:ln xmlns:a="http://schemas.openxmlformats.org/drawingml/2006/main">
                <a:prstDash val="solid"/>
              </a:ln>
            </spPr>
          </marker>
          <cat>
            <numRef>
              <f>'May'!$E$6:$AI$6</f>
            </numRef>
          </cat>
          <val>
            <numRef>
              <f>'May'!$AG$32</f>
            </numRef>
          </val>
        </ser>
        <ser>
          <idx val="29"/>
          <order val="29"/>
          <spPr>
            <a:ln xmlns:a="http://schemas.openxmlformats.org/drawingml/2006/main">
              <a:prstDash val="solid"/>
            </a:ln>
          </spPr>
          <marker>
            <symbol val="none"/>
            <spPr>
              <a:ln xmlns:a="http://schemas.openxmlformats.org/drawingml/2006/main">
                <a:prstDash val="solid"/>
              </a:ln>
            </spPr>
          </marker>
          <cat>
            <numRef>
              <f>'May'!$E$6:$AI$6</f>
            </numRef>
          </cat>
          <val>
            <numRef>
              <f>'May'!$AH$32</f>
            </numRef>
          </val>
        </ser>
        <ser>
          <idx val="30"/>
          <order val="30"/>
          <spPr>
            <a:ln xmlns:a="http://schemas.openxmlformats.org/drawingml/2006/main">
              <a:prstDash val="solid"/>
            </a:ln>
          </spPr>
          <marker>
            <symbol val="none"/>
            <spPr>
              <a:ln xmlns:a="http://schemas.openxmlformats.org/drawingml/2006/main">
                <a:prstDash val="solid"/>
              </a:ln>
            </spPr>
          </marker>
          <cat>
            <numRef>
              <f>'May'!$E$6:$AI$6</f>
            </numRef>
          </cat>
          <val>
            <numRef>
              <f>'May'!$AI$32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Points</a:t>
                </a:r>
              </a:p>
            </rich>
          </tx>
        </title>
        <majorTickMark val="none"/>
        <minorTickMark val="none"/>
        <crossAx val="10"/>
      </valAx>
    </plotArea>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Good vs Bad (Daily Counts)</a:t>
            </a:r>
          </a:p>
        </rich>
      </tx>
    </title>
    <plotArea>
      <barChart>
        <barDir val="col"/>
        <grouping val="clustered"/>
        <ser>
          <idx val="0"/>
          <order val="0"/>
          <spPr>
            <a:ln xmlns:a="http://schemas.openxmlformats.org/drawingml/2006/main">
              <a:prstDash val="solid"/>
            </a:ln>
          </spPr>
          <cat>
            <numRef>
              <f>'May'!$E$6:$AI$6</f>
            </numRef>
          </cat>
          <val>
            <numRef>
              <f>'May'!$E$30:$AI$30</f>
            </numRef>
          </val>
        </ser>
        <ser>
          <idx val="1"/>
          <order val="1"/>
          <spPr>
            <a:ln xmlns:a="http://schemas.openxmlformats.org/drawingml/2006/main">
              <a:prstDash val="solid"/>
            </a:ln>
          </spPr>
          <cat>
            <numRef>
              <f>'May'!$E$6:$AI$6</f>
            </numRef>
          </cat>
          <val>
            <numRef>
              <f>'May'!$E$31:$AI$31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Daily Net Score</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'Jun'!$E$6:$AI$6</f>
            </numRef>
          </cat>
          <val>
            <numRef>
              <f>'Jun'!$E$32</f>
            </numRef>
          </val>
        </ser>
        <ser>
          <idx val="1"/>
          <order val="1"/>
          <spPr>
            <a:ln xmlns:a="http://schemas.openxmlformats.org/drawingml/2006/main">
              <a:prstDash val="solid"/>
            </a:ln>
          </spPr>
          <marker>
            <symbol val="none"/>
            <spPr>
              <a:ln xmlns:a="http://schemas.openxmlformats.org/drawingml/2006/main">
                <a:prstDash val="solid"/>
              </a:ln>
            </spPr>
          </marker>
          <cat>
            <numRef>
              <f>'Jun'!$E$6:$AI$6</f>
            </numRef>
          </cat>
          <val>
            <numRef>
              <f>'Jun'!$F$32</f>
            </numRef>
          </val>
        </ser>
        <ser>
          <idx val="2"/>
          <order val="2"/>
          <spPr>
            <a:ln xmlns:a="http://schemas.openxmlformats.org/drawingml/2006/main">
              <a:prstDash val="solid"/>
            </a:ln>
          </spPr>
          <marker>
            <symbol val="none"/>
            <spPr>
              <a:ln xmlns:a="http://schemas.openxmlformats.org/drawingml/2006/main">
                <a:prstDash val="solid"/>
              </a:ln>
            </spPr>
          </marker>
          <cat>
            <numRef>
              <f>'Jun'!$E$6:$AI$6</f>
            </numRef>
          </cat>
          <val>
            <numRef>
              <f>'Jun'!$G$32</f>
            </numRef>
          </val>
        </ser>
        <ser>
          <idx val="3"/>
          <order val="3"/>
          <spPr>
            <a:ln xmlns:a="http://schemas.openxmlformats.org/drawingml/2006/main">
              <a:prstDash val="solid"/>
            </a:ln>
          </spPr>
          <marker>
            <symbol val="none"/>
            <spPr>
              <a:ln xmlns:a="http://schemas.openxmlformats.org/drawingml/2006/main">
                <a:prstDash val="solid"/>
              </a:ln>
            </spPr>
          </marker>
          <cat>
            <numRef>
              <f>'Jun'!$E$6:$AI$6</f>
            </numRef>
          </cat>
          <val>
            <numRef>
              <f>'Jun'!$H$32</f>
            </numRef>
          </val>
        </ser>
        <ser>
          <idx val="4"/>
          <order val="4"/>
          <spPr>
            <a:ln xmlns:a="http://schemas.openxmlformats.org/drawingml/2006/main">
              <a:prstDash val="solid"/>
            </a:ln>
          </spPr>
          <marker>
            <symbol val="none"/>
            <spPr>
              <a:ln xmlns:a="http://schemas.openxmlformats.org/drawingml/2006/main">
                <a:prstDash val="solid"/>
              </a:ln>
            </spPr>
          </marker>
          <cat>
            <numRef>
              <f>'Jun'!$E$6:$AI$6</f>
            </numRef>
          </cat>
          <val>
            <numRef>
              <f>'Jun'!$I$32</f>
            </numRef>
          </val>
        </ser>
        <ser>
          <idx val="5"/>
          <order val="5"/>
          <spPr>
            <a:ln xmlns:a="http://schemas.openxmlformats.org/drawingml/2006/main">
              <a:prstDash val="solid"/>
            </a:ln>
          </spPr>
          <marker>
            <symbol val="none"/>
            <spPr>
              <a:ln xmlns:a="http://schemas.openxmlformats.org/drawingml/2006/main">
                <a:prstDash val="solid"/>
              </a:ln>
            </spPr>
          </marker>
          <cat>
            <numRef>
              <f>'Jun'!$E$6:$AI$6</f>
            </numRef>
          </cat>
          <val>
            <numRef>
              <f>'Jun'!$J$32</f>
            </numRef>
          </val>
        </ser>
        <ser>
          <idx val="6"/>
          <order val="6"/>
          <spPr>
            <a:ln xmlns:a="http://schemas.openxmlformats.org/drawingml/2006/main">
              <a:prstDash val="solid"/>
            </a:ln>
          </spPr>
          <marker>
            <symbol val="none"/>
            <spPr>
              <a:ln xmlns:a="http://schemas.openxmlformats.org/drawingml/2006/main">
                <a:prstDash val="solid"/>
              </a:ln>
            </spPr>
          </marker>
          <cat>
            <numRef>
              <f>'Jun'!$E$6:$AI$6</f>
            </numRef>
          </cat>
          <val>
            <numRef>
              <f>'Jun'!$K$32</f>
            </numRef>
          </val>
        </ser>
        <ser>
          <idx val="7"/>
          <order val="7"/>
          <spPr>
            <a:ln xmlns:a="http://schemas.openxmlformats.org/drawingml/2006/main">
              <a:prstDash val="solid"/>
            </a:ln>
          </spPr>
          <marker>
            <symbol val="none"/>
            <spPr>
              <a:ln xmlns:a="http://schemas.openxmlformats.org/drawingml/2006/main">
                <a:prstDash val="solid"/>
              </a:ln>
            </spPr>
          </marker>
          <cat>
            <numRef>
              <f>'Jun'!$E$6:$AI$6</f>
            </numRef>
          </cat>
          <val>
            <numRef>
              <f>'Jun'!$L$32</f>
            </numRef>
          </val>
        </ser>
        <ser>
          <idx val="8"/>
          <order val="8"/>
          <spPr>
            <a:ln xmlns:a="http://schemas.openxmlformats.org/drawingml/2006/main">
              <a:prstDash val="solid"/>
            </a:ln>
          </spPr>
          <marker>
            <symbol val="none"/>
            <spPr>
              <a:ln xmlns:a="http://schemas.openxmlformats.org/drawingml/2006/main">
                <a:prstDash val="solid"/>
              </a:ln>
            </spPr>
          </marker>
          <cat>
            <numRef>
              <f>'Jun'!$E$6:$AI$6</f>
            </numRef>
          </cat>
          <val>
            <numRef>
              <f>'Jun'!$M$32</f>
            </numRef>
          </val>
        </ser>
        <ser>
          <idx val="9"/>
          <order val="9"/>
          <spPr>
            <a:ln xmlns:a="http://schemas.openxmlformats.org/drawingml/2006/main">
              <a:prstDash val="solid"/>
            </a:ln>
          </spPr>
          <marker>
            <symbol val="none"/>
            <spPr>
              <a:ln xmlns:a="http://schemas.openxmlformats.org/drawingml/2006/main">
                <a:prstDash val="solid"/>
              </a:ln>
            </spPr>
          </marker>
          <cat>
            <numRef>
              <f>'Jun'!$E$6:$AI$6</f>
            </numRef>
          </cat>
          <val>
            <numRef>
              <f>'Jun'!$N$32</f>
            </numRef>
          </val>
        </ser>
        <ser>
          <idx val="10"/>
          <order val="10"/>
          <spPr>
            <a:ln xmlns:a="http://schemas.openxmlformats.org/drawingml/2006/main">
              <a:prstDash val="solid"/>
            </a:ln>
          </spPr>
          <marker>
            <symbol val="none"/>
            <spPr>
              <a:ln xmlns:a="http://schemas.openxmlformats.org/drawingml/2006/main">
                <a:prstDash val="solid"/>
              </a:ln>
            </spPr>
          </marker>
          <cat>
            <numRef>
              <f>'Jun'!$E$6:$AI$6</f>
            </numRef>
          </cat>
          <val>
            <numRef>
              <f>'Jun'!$O$32</f>
            </numRef>
          </val>
        </ser>
        <ser>
          <idx val="11"/>
          <order val="11"/>
          <spPr>
            <a:ln xmlns:a="http://schemas.openxmlformats.org/drawingml/2006/main">
              <a:prstDash val="solid"/>
            </a:ln>
          </spPr>
          <marker>
            <symbol val="none"/>
            <spPr>
              <a:ln xmlns:a="http://schemas.openxmlformats.org/drawingml/2006/main">
                <a:prstDash val="solid"/>
              </a:ln>
            </spPr>
          </marker>
          <cat>
            <numRef>
              <f>'Jun'!$E$6:$AI$6</f>
            </numRef>
          </cat>
          <val>
            <numRef>
              <f>'Jun'!$P$32</f>
            </numRef>
          </val>
        </ser>
        <ser>
          <idx val="12"/>
          <order val="12"/>
          <spPr>
            <a:ln xmlns:a="http://schemas.openxmlformats.org/drawingml/2006/main">
              <a:prstDash val="solid"/>
            </a:ln>
          </spPr>
          <marker>
            <symbol val="none"/>
            <spPr>
              <a:ln xmlns:a="http://schemas.openxmlformats.org/drawingml/2006/main">
                <a:prstDash val="solid"/>
              </a:ln>
            </spPr>
          </marker>
          <cat>
            <numRef>
              <f>'Jun'!$E$6:$AI$6</f>
            </numRef>
          </cat>
          <val>
            <numRef>
              <f>'Jun'!$Q$32</f>
            </numRef>
          </val>
        </ser>
        <ser>
          <idx val="13"/>
          <order val="13"/>
          <spPr>
            <a:ln xmlns:a="http://schemas.openxmlformats.org/drawingml/2006/main">
              <a:prstDash val="solid"/>
            </a:ln>
          </spPr>
          <marker>
            <symbol val="none"/>
            <spPr>
              <a:ln xmlns:a="http://schemas.openxmlformats.org/drawingml/2006/main">
                <a:prstDash val="solid"/>
              </a:ln>
            </spPr>
          </marker>
          <cat>
            <numRef>
              <f>'Jun'!$E$6:$AI$6</f>
            </numRef>
          </cat>
          <val>
            <numRef>
              <f>'Jun'!$R$32</f>
            </numRef>
          </val>
        </ser>
        <ser>
          <idx val="14"/>
          <order val="14"/>
          <spPr>
            <a:ln xmlns:a="http://schemas.openxmlformats.org/drawingml/2006/main">
              <a:prstDash val="solid"/>
            </a:ln>
          </spPr>
          <marker>
            <symbol val="none"/>
            <spPr>
              <a:ln xmlns:a="http://schemas.openxmlformats.org/drawingml/2006/main">
                <a:prstDash val="solid"/>
              </a:ln>
            </spPr>
          </marker>
          <cat>
            <numRef>
              <f>'Jun'!$E$6:$AI$6</f>
            </numRef>
          </cat>
          <val>
            <numRef>
              <f>'Jun'!$S$32</f>
            </numRef>
          </val>
        </ser>
        <ser>
          <idx val="15"/>
          <order val="15"/>
          <spPr>
            <a:ln xmlns:a="http://schemas.openxmlformats.org/drawingml/2006/main">
              <a:prstDash val="solid"/>
            </a:ln>
          </spPr>
          <marker>
            <symbol val="none"/>
            <spPr>
              <a:ln xmlns:a="http://schemas.openxmlformats.org/drawingml/2006/main">
                <a:prstDash val="solid"/>
              </a:ln>
            </spPr>
          </marker>
          <cat>
            <numRef>
              <f>'Jun'!$E$6:$AI$6</f>
            </numRef>
          </cat>
          <val>
            <numRef>
              <f>'Jun'!$T$32</f>
            </numRef>
          </val>
        </ser>
        <ser>
          <idx val="16"/>
          <order val="16"/>
          <spPr>
            <a:ln xmlns:a="http://schemas.openxmlformats.org/drawingml/2006/main">
              <a:prstDash val="solid"/>
            </a:ln>
          </spPr>
          <marker>
            <symbol val="none"/>
            <spPr>
              <a:ln xmlns:a="http://schemas.openxmlformats.org/drawingml/2006/main">
                <a:prstDash val="solid"/>
              </a:ln>
            </spPr>
          </marker>
          <cat>
            <numRef>
              <f>'Jun'!$E$6:$AI$6</f>
            </numRef>
          </cat>
          <val>
            <numRef>
              <f>'Jun'!$U$32</f>
            </numRef>
          </val>
        </ser>
        <ser>
          <idx val="17"/>
          <order val="17"/>
          <spPr>
            <a:ln xmlns:a="http://schemas.openxmlformats.org/drawingml/2006/main">
              <a:prstDash val="solid"/>
            </a:ln>
          </spPr>
          <marker>
            <symbol val="none"/>
            <spPr>
              <a:ln xmlns:a="http://schemas.openxmlformats.org/drawingml/2006/main">
                <a:prstDash val="solid"/>
              </a:ln>
            </spPr>
          </marker>
          <cat>
            <numRef>
              <f>'Jun'!$E$6:$AI$6</f>
            </numRef>
          </cat>
          <val>
            <numRef>
              <f>'Jun'!$V$32</f>
            </numRef>
          </val>
        </ser>
        <ser>
          <idx val="18"/>
          <order val="18"/>
          <spPr>
            <a:ln xmlns:a="http://schemas.openxmlformats.org/drawingml/2006/main">
              <a:prstDash val="solid"/>
            </a:ln>
          </spPr>
          <marker>
            <symbol val="none"/>
            <spPr>
              <a:ln xmlns:a="http://schemas.openxmlformats.org/drawingml/2006/main">
                <a:prstDash val="solid"/>
              </a:ln>
            </spPr>
          </marker>
          <cat>
            <numRef>
              <f>'Jun'!$E$6:$AI$6</f>
            </numRef>
          </cat>
          <val>
            <numRef>
              <f>'Jun'!$W$32</f>
            </numRef>
          </val>
        </ser>
        <ser>
          <idx val="19"/>
          <order val="19"/>
          <spPr>
            <a:ln xmlns:a="http://schemas.openxmlformats.org/drawingml/2006/main">
              <a:prstDash val="solid"/>
            </a:ln>
          </spPr>
          <marker>
            <symbol val="none"/>
            <spPr>
              <a:ln xmlns:a="http://schemas.openxmlformats.org/drawingml/2006/main">
                <a:prstDash val="solid"/>
              </a:ln>
            </spPr>
          </marker>
          <cat>
            <numRef>
              <f>'Jun'!$E$6:$AI$6</f>
            </numRef>
          </cat>
          <val>
            <numRef>
              <f>'Jun'!$X$32</f>
            </numRef>
          </val>
        </ser>
        <ser>
          <idx val="20"/>
          <order val="20"/>
          <spPr>
            <a:ln xmlns:a="http://schemas.openxmlformats.org/drawingml/2006/main">
              <a:prstDash val="solid"/>
            </a:ln>
          </spPr>
          <marker>
            <symbol val="none"/>
            <spPr>
              <a:ln xmlns:a="http://schemas.openxmlformats.org/drawingml/2006/main">
                <a:prstDash val="solid"/>
              </a:ln>
            </spPr>
          </marker>
          <cat>
            <numRef>
              <f>'Jun'!$E$6:$AI$6</f>
            </numRef>
          </cat>
          <val>
            <numRef>
              <f>'Jun'!$Y$32</f>
            </numRef>
          </val>
        </ser>
        <ser>
          <idx val="21"/>
          <order val="21"/>
          <spPr>
            <a:ln xmlns:a="http://schemas.openxmlformats.org/drawingml/2006/main">
              <a:prstDash val="solid"/>
            </a:ln>
          </spPr>
          <marker>
            <symbol val="none"/>
            <spPr>
              <a:ln xmlns:a="http://schemas.openxmlformats.org/drawingml/2006/main">
                <a:prstDash val="solid"/>
              </a:ln>
            </spPr>
          </marker>
          <cat>
            <numRef>
              <f>'Jun'!$E$6:$AI$6</f>
            </numRef>
          </cat>
          <val>
            <numRef>
              <f>'Jun'!$Z$32</f>
            </numRef>
          </val>
        </ser>
        <ser>
          <idx val="22"/>
          <order val="22"/>
          <spPr>
            <a:ln xmlns:a="http://schemas.openxmlformats.org/drawingml/2006/main">
              <a:prstDash val="solid"/>
            </a:ln>
          </spPr>
          <marker>
            <symbol val="none"/>
            <spPr>
              <a:ln xmlns:a="http://schemas.openxmlformats.org/drawingml/2006/main">
                <a:prstDash val="solid"/>
              </a:ln>
            </spPr>
          </marker>
          <cat>
            <numRef>
              <f>'Jun'!$E$6:$AI$6</f>
            </numRef>
          </cat>
          <val>
            <numRef>
              <f>'Jun'!$AA$32</f>
            </numRef>
          </val>
        </ser>
        <ser>
          <idx val="23"/>
          <order val="23"/>
          <spPr>
            <a:ln xmlns:a="http://schemas.openxmlformats.org/drawingml/2006/main">
              <a:prstDash val="solid"/>
            </a:ln>
          </spPr>
          <marker>
            <symbol val="none"/>
            <spPr>
              <a:ln xmlns:a="http://schemas.openxmlformats.org/drawingml/2006/main">
                <a:prstDash val="solid"/>
              </a:ln>
            </spPr>
          </marker>
          <cat>
            <numRef>
              <f>'Jun'!$E$6:$AI$6</f>
            </numRef>
          </cat>
          <val>
            <numRef>
              <f>'Jun'!$AB$32</f>
            </numRef>
          </val>
        </ser>
        <ser>
          <idx val="24"/>
          <order val="24"/>
          <spPr>
            <a:ln xmlns:a="http://schemas.openxmlformats.org/drawingml/2006/main">
              <a:prstDash val="solid"/>
            </a:ln>
          </spPr>
          <marker>
            <symbol val="none"/>
            <spPr>
              <a:ln xmlns:a="http://schemas.openxmlformats.org/drawingml/2006/main">
                <a:prstDash val="solid"/>
              </a:ln>
            </spPr>
          </marker>
          <cat>
            <numRef>
              <f>'Jun'!$E$6:$AI$6</f>
            </numRef>
          </cat>
          <val>
            <numRef>
              <f>'Jun'!$AC$32</f>
            </numRef>
          </val>
        </ser>
        <ser>
          <idx val="25"/>
          <order val="25"/>
          <spPr>
            <a:ln xmlns:a="http://schemas.openxmlformats.org/drawingml/2006/main">
              <a:prstDash val="solid"/>
            </a:ln>
          </spPr>
          <marker>
            <symbol val="none"/>
            <spPr>
              <a:ln xmlns:a="http://schemas.openxmlformats.org/drawingml/2006/main">
                <a:prstDash val="solid"/>
              </a:ln>
            </spPr>
          </marker>
          <cat>
            <numRef>
              <f>'Jun'!$E$6:$AI$6</f>
            </numRef>
          </cat>
          <val>
            <numRef>
              <f>'Jun'!$AD$32</f>
            </numRef>
          </val>
        </ser>
        <ser>
          <idx val="26"/>
          <order val="26"/>
          <spPr>
            <a:ln xmlns:a="http://schemas.openxmlformats.org/drawingml/2006/main">
              <a:prstDash val="solid"/>
            </a:ln>
          </spPr>
          <marker>
            <symbol val="none"/>
            <spPr>
              <a:ln xmlns:a="http://schemas.openxmlformats.org/drawingml/2006/main">
                <a:prstDash val="solid"/>
              </a:ln>
            </spPr>
          </marker>
          <cat>
            <numRef>
              <f>'Jun'!$E$6:$AI$6</f>
            </numRef>
          </cat>
          <val>
            <numRef>
              <f>'Jun'!$AE$32</f>
            </numRef>
          </val>
        </ser>
        <ser>
          <idx val="27"/>
          <order val="27"/>
          <spPr>
            <a:ln xmlns:a="http://schemas.openxmlformats.org/drawingml/2006/main">
              <a:prstDash val="solid"/>
            </a:ln>
          </spPr>
          <marker>
            <symbol val="none"/>
            <spPr>
              <a:ln xmlns:a="http://schemas.openxmlformats.org/drawingml/2006/main">
                <a:prstDash val="solid"/>
              </a:ln>
            </spPr>
          </marker>
          <cat>
            <numRef>
              <f>'Jun'!$E$6:$AI$6</f>
            </numRef>
          </cat>
          <val>
            <numRef>
              <f>'Jun'!$AF$32</f>
            </numRef>
          </val>
        </ser>
        <ser>
          <idx val="28"/>
          <order val="28"/>
          <spPr>
            <a:ln xmlns:a="http://schemas.openxmlformats.org/drawingml/2006/main">
              <a:prstDash val="solid"/>
            </a:ln>
          </spPr>
          <marker>
            <symbol val="none"/>
            <spPr>
              <a:ln xmlns:a="http://schemas.openxmlformats.org/drawingml/2006/main">
                <a:prstDash val="solid"/>
              </a:ln>
            </spPr>
          </marker>
          <cat>
            <numRef>
              <f>'Jun'!$E$6:$AI$6</f>
            </numRef>
          </cat>
          <val>
            <numRef>
              <f>'Jun'!$AG$32</f>
            </numRef>
          </val>
        </ser>
        <ser>
          <idx val="29"/>
          <order val="29"/>
          <spPr>
            <a:ln xmlns:a="http://schemas.openxmlformats.org/drawingml/2006/main">
              <a:prstDash val="solid"/>
            </a:ln>
          </spPr>
          <marker>
            <symbol val="none"/>
            <spPr>
              <a:ln xmlns:a="http://schemas.openxmlformats.org/drawingml/2006/main">
                <a:prstDash val="solid"/>
              </a:ln>
            </spPr>
          </marker>
          <cat>
            <numRef>
              <f>'Jun'!$E$6:$AI$6</f>
            </numRef>
          </cat>
          <val>
            <numRef>
              <f>'Jun'!$AH$32</f>
            </numRef>
          </val>
        </ser>
        <ser>
          <idx val="30"/>
          <order val="30"/>
          <spPr>
            <a:ln xmlns:a="http://schemas.openxmlformats.org/drawingml/2006/main">
              <a:prstDash val="solid"/>
            </a:ln>
          </spPr>
          <marker>
            <symbol val="none"/>
            <spPr>
              <a:ln xmlns:a="http://schemas.openxmlformats.org/drawingml/2006/main">
                <a:prstDash val="solid"/>
              </a:ln>
            </spPr>
          </marker>
          <cat>
            <numRef>
              <f>'Jun'!$E$6:$AI$6</f>
            </numRef>
          </cat>
          <val>
            <numRef>
              <f>'Jun'!$AI$32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Points</a:t>
                </a:r>
              </a:p>
            </rich>
          </tx>
        </title>
        <majorTickMark val="none"/>
        <minorTickMark val="none"/>
        <crossAx val="10"/>
      </valAx>
    </plotArea>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Good vs Bad (Daily Counts)</a:t>
            </a:r>
          </a:p>
        </rich>
      </tx>
    </title>
    <plotArea>
      <barChart>
        <barDir val="col"/>
        <grouping val="clustered"/>
        <ser>
          <idx val="0"/>
          <order val="0"/>
          <spPr>
            <a:ln xmlns:a="http://schemas.openxmlformats.org/drawingml/2006/main">
              <a:prstDash val="solid"/>
            </a:ln>
          </spPr>
          <cat>
            <numRef>
              <f>'Jun'!$E$6:$AI$6</f>
            </numRef>
          </cat>
          <val>
            <numRef>
              <f>'Jun'!$E$30:$AI$30</f>
            </numRef>
          </val>
        </ser>
        <ser>
          <idx val="1"/>
          <order val="1"/>
          <spPr>
            <a:ln xmlns:a="http://schemas.openxmlformats.org/drawingml/2006/main">
              <a:prstDash val="solid"/>
            </a:ln>
          </spPr>
          <cat>
            <numRef>
              <f>'Jun'!$E$6:$AI$6</f>
            </numRef>
          </cat>
          <val>
            <numRef>
              <f>'Jun'!$E$31:$AI$31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Daily Net Score</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'Jul'!$E$6:$AI$6</f>
            </numRef>
          </cat>
          <val>
            <numRef>
              <f>'Jul'!$E$32</f>
            </numRef>
          </val>
        </ser>
        <ser>
          <idx val="1"/>
          <order val="1"/>
          <spPr>
            <a:ln xmlns:a="http://schemas.openxmlformats.org/drawingml/2006/main">
              <a:prstDash val="solid"/>
            </a:ln>
          </spPr>
          <marker>
            <symbol val="none"/>
            <spPr>
              <a:ln xmlns:a="http://schemas.openxmlformats.org/drawingml/2006/main">
                <a:prstDash val="solid"/>
              </a:ln>
            </spPr>
          </marker>
          <cat>
            <numRef>
              <f>'Jul'!$E$6:$AI$6</f>
            </numRef>
          </cat>
          <val>
            <numRef>
              <f>'Jul'!$F$32</f>
            </numRef>
          </val>
        </ser>
        <ser>
          <idx val="2"/>
          <order val="2"/>
          <spPr>
            <a:ln xmlns:a="http://schemas.openxmlformats.org/drawingml/2006/main">
              <a:prstDash val="solid"/>
            </a:ln>
          </spPr>
          <marker>
            <symbol val="none"/>
            <spPr>
              <a:ln xmlns:a="http://schemas.openxmlformats.org/drawingml/2006/main">
                <a:prstDash val="solid"/>
              </a:ln>
            </spPr>
          </marker>
          <cat>
            <numRef>
              <f>'Jul'!$E$6:$AI$6</f>
            </numRef>
          </cat>
          <val>
            <numRef>
              <f>'Jul'!$G$32</f>
            </numRef>
          </val>
        </ser>
        <ser>
          <idx val="3"/>
          <order val="3"/>
          <spPr>
            <a:ln xmlns:a="http://schemas.openxmlformats.org/drawingml/2006/main">
              <a:prstDash val="solid"/>
            </a:ln>
          </spPr>
          <marker>
            <symbol val="none"/>
            <spPr>
              <a:ln xmlns:a="http://schemas.openxmlformats.org/drawingml/2006/main">
                <a:prstDash val="solid"/>
              </a:ln>
            </spPr>
          </marker>
          <cat>
            <numRef>
              <f>'Jul'!$E$6:$AI$6</f>
            </numRef>
          </cat>
          <val>
            <numRef>
              <f>'Jul'!$H$32</f>
            </numRef>
          </val>
        </ser>
        <ser>
          <idx val="4"/>
          <order val="4"/>
          <spPr>
            <a:ln xmlns:a="http://schemas.openxmlformats.org/drawingml/2006/main">
              <a:prstDash val="solid"/>
            </a:ln>
          </spPr>
          <marker>
            <symbol val="none"/>
            <spPr>
              <a:ln xmlns:a="http://schemas.openxmlformats.org/drawingml/2006/main">
                <a:prstDash val="solid"/>
              </a:ln>
            </spPr>
          </marker>
          <cat>
            <numRef>
              <f>'Jul'!$E$6:$AI$6</f>
            </numRef>
          </cat>
          <val>
            <numRef>
              <f>'Jul'!$I$32</f>
            </numRef>
          </val>
        </ser>
        <ser>
          <idx val="5"/>
          <order val="5"/>
          <spPr>
            <a:ln xmlns:a="http://schemas.openxmlformats.org/drawingml/2006/main">
              <a:prstDash val="solid"/>
            </a:ln>
          </spPr>
          <marker>
            <symbol val="none"/>
            <spPr>
              <a:ln xmlns:a="http://schemas.openxmlformats.org/drawingml/2006/main">
                <a:prstDash val="solid"/>
              </a:ln>
            </spPr>
          </marker>
          <cat>
            <numRef>
              <f>'Jul'!$E$6:$AI$6</f>
            </numRef>
          </cat>
          <val>
            <numRef>
              <f>'Jul'!$J$32</f>
            </numRef>
          </val>
        </ser>
        <ser>
          <idx val="6"/>
          <order val="6"/>
          <spPr>
            <a:ln xmlns:a="http://schemas.openxmlformats.org/drawingml/2006/main">
              <a:prstDash val="solid"/>
            </a:ln>
          </spPr>
          <marker>
            <symbol val="none"/>
            <spPr>
              <a:ln xmlns:a="http://schemas.openxmlformats.org/drawingml/2006/main">
                <a:prstDash val="solid"/>
              </a:ln>
            </spPr>
          </marker>
          <cat>
            <numRef>
              <f>'Jul'!$E$6:$AI$6</f>
            </numRef>
          </cat>
          <val>
            <numRef>
              <f>'Jul'!$K$32</f>
            </numRef>
          </val>
        </ser>
        <ser>
          <idx val="7"/>
          <order val="7"/>
          <spPr>
            <a:ln xmlns:a="http://schemas.openxmlformats.org/drawingml/2006/main">
              <a:prstDash val="solid"/>
            </a:ln>
          </spPr>
          <marker>
            <symbol val="none"/>
            <spPr>
              <a:ln xmlns:a="http://schemas.openxmlformats.org/drawingml/2006/main">
                <a:prstDash val="solid"/>
              </a:ln>
            </spPr>
          </marker>
          <cat>
            <numRef>
              <f>'Jul'!$E$6:$AI$6</f>
            </numRef>
          </cat>
          <val>
            <numRef>
              <f>'Jul'!$L$32</f>
            </numRef>
          </val>
        </ser>
        <ser>
          <idx val="8"/>
          <order val="8"/>
          <spPr>
            <a:ln xmlns:a="http://schemas.openxmlformats.org/drawingml/2006/main">
              <a:prstDash val="solid"/>
            </a:ln>
          </spPr>
          <marker>
            <symbol val="none"/>
            <spPr>
              <a:ln xmlns:a="http://schemas.openxmlformats.org/drawingml/2006/main">
                <a:prstDash val="solid"/>
              </a:ln>
            </spPr>
          </marker>
          <cat>
            <numRef>
              <f>'Jul'!$E$6:$AI$6</f>
            </numRef>
          </cat>
          <val>
            <numRef>
              <f>'Jul'!$M$32</f>
            </numRef>
          </val>
        </ser>
        <ser>
          <idx val="9"/>
          <order val="9"/>
          <spPr>
            <a:ln xmlns:a="http://schemas.openxmlformats.org/drawingml/2006/main">
              <a:prstDash val="solid"/>
            </a:ln>
          </spPr>
          <marker>
            <symbol val="none"/>
            <spPr>
              <a:ln xmlns:a="http://schemas.openxmlformats.org/drawingml/2006/main">
                <a:prstDash val="solid"/>
              </a:ln>
            </spPr>
          </marker>
          <cat>
            <numRef>
              <f>'Jul'!$E$6:$AI$6</f>
            </numRef>
          </cat>
          <val>
            <numRef>
              <f>'Jul'!$N$32</f>
            </numRef>
          </val>
        </ser>
        <ser>
          <idx val="10"/>
          <order val="10"/>
          <spPr>
            <a:ln xmlns:a="http://schemas.openxmlformats.org/drawingml/2006/main">
              <a:prstDash val="solid"/>
            </a:ln>
          </spPr>
          <marker>
            <symbol val="none"/>
            <spPr>
              <a:ln xmlns:a="http://schemas.openxmlformats.org/drawingml/2006/main">
                <a:prstDash val="solid"/>
              </a:ln>
            </spPr>
          </marker>
          <cat>
            <numRef>
              <f>'Jul'!$E$6:$AI$6</f>
            </numRef>
          </cat>
          <val>
            <numRef>
              <f>'Jul'!$O$32</f>
            </numRef>
          </val>
        </ser>
        <ser>
          <idx val="11"/>
          <order val="11"/>
          <spPr>
            <a:ln xmlns:a="http://schemas.openxmlformats.org/drawingml/2006/main">
              <a:prstDash val="solid"/>
            </a:ln>
          </spPr>
          <marker>
            <symbol val="none"/>
            <spPr>
              <a:ln xmlns:a="http://schemas.openxmlformats.org/drawingml/2006/main">
                <a:prstDash val="solid"/>
              </a:ln>
            </spPr>
          </marker>
          <cat>
            <numRef>
              <f>'Jul'!$E$6:$AI$6</f>
            </numRef>
          </cat>
          <val>
            <numRef>
              <f>'Jul'!$P$32</f>
            </numRef>
          </val>
        </ser>
        <ser>
          <idx val="12"/>
          <order val="12"/>
          <spPr>
            <a:ln xmlns:a="http://schemas.openxmlformats.org/drawingml/2006/main">
              <a:prstDash val="solid"/>
            </a:ln>
          </spPr>
          <marker>
            <symbol val="none"/>
            <spPr>
              <a:ln xmlns:a="http://schemas.openxmlformats.org/drawingml/2006/main">
                <a:prstDash val="solid"/>
              </a:ln>
            </spPr>
          </marker>
          <cat>
            <numRef>
              <f>'Jul'!$E$6:$AI$6</f>
            </numRef>
          </cat>
          <val>
            <numRef>
              <f>'Jul'!$Q$32</f>
            </numRef>
          </val>
        </ser>
        <ser>
          <idx val="13"/>
          <order val="13"/>
          <spPr>
            <a:ln xmlns:a="http://schemas.openxmlformats.org/drawingml/2006/main">
              <a:prstDash val="solid"/>
            </a:ln>
          </spPr>
          <marker>
            <symbol val="none"/>
            <spPr>
              <a:ln xmlns:a="http://schemas.openxmlformats.org/drawingml/2006/main">
                <a:prstDash val="solid"/>
              </a:ln>
            </spPr>
          </marker>
          <cat>
            <numRef>
              <f>'Jul'!$E$6:$AI$6</f>
            </numRef>
          </cat>
          <val>
            <numRef>
              <f>'Jul'!$R$32</f>
            </numRef>
          </val>
        </ser>
        <ser>
          <idx val="14"/>
          <order val="14"/>
          <spPr>
            <a:ln xmlns:a="http://schemas.openxmlformats.org/drawingml/2006/main">
              <a:prstDash val="solid"/>
            </a:ln>
          </spPr>
          <marker>
            <symbol val="none"/>
            <spPr>
              <a:ln xmlns:a="http://schemas.openxmlformats.org/drawingml/2006/main">
                <a:prstDash val="solid"/>
              </a:ln>
            </spPr>
          </marker>
          <cat>
            <numRef>
              <f>'Jul'!$E$6:$AI$6</f>
            </numRef>
          </cat>
          <val>
            <numRef>
              <f>'Jul'!$S$32</f>
            </numRef>
          </val>
        </ser>
        <ser>
          <idx val="15"/>
          <order val="15"/>
          <spPr>
            <a:ln xmlns:a="http://schemas.openxmlformats.org/drawingml/2006/main">
              <a:prstDash val="solid"/>
            </a:ln>
          </spPr>
          <marker>
            <symbol val="none"/>
            <spPr>
              <a:ln xmlns:a="http://schemas.openxmlformats.org/drawingml/2006/main">
                <a:prstDash val="solid"/>
              </a:ln>
            </spPr>
          </marker>
          <cat>
            <numRef>
              <f>'Jul'!$E$6:$AI$6</f>
            </numRef>
          </cat>
          <val>
            <numRef>
              <f>'Jul'!$T$32</f>
            </numRef>
          </val>
        </ser>
        <ser>
          <idx val="16"/>
          <order val="16"/>
          <spPr>
            <a:ln xmlns:a="http://schemas.openxmlformats.org/drawingml/2006/main">
              <a:prstDash val="solid"/>
            </a:ln>
          </spPr>
          <marker>
            <symbol val="none"/>
            <spPr>
              <a:ln xmlns:a="http://schemas.openxmlformats.org/drawingml/2006/main">
                <a:prstDash val="solid"/>
              </a:ln>
            </spPr>
          </marker>
          <cat>
            <numRef>
              <f>'Jul'!$E$6:$AI$6</f>
            </numRef>
          </cat>
          <val>
            <numRef>
              <f>'Jul'!$U$32</f>
            </numRef>
          </val>
        </ser>
        <ser>
          <idx val="17"/>
          <order val="17"/>
          <spPr>
            <a:ln xmlns:a="http://schemas.openxmlformats.org/drawingml/2006/main">
              <a:prstDash val="solid"/>
            </a:ln>
          </spPr>
          <marker>
            <symbol val="none"/>
            <spPr>
              <a:ln xmlns:a="http://schemas.openxmlformats.org/drawingml/2006/main">
                <a:prstDash val="solid"/>
              </a:ln>
            </spPr>
          </marker>
          <cat>
            <numRef>
              <f>'Jul'!$E$6:$AI$6</f>
            </numRef>
          </cat>
          <val>
            <numRef>
              <f>'Jul'!$V$32</f>
            </numRef>
          </val>
        </ser>
        <ser>
          <idx val="18"/>
          <order val="18"/>
          <spPr>
            <a:ln xmlns:a="http://schemas.openxmlformats.org/drawingml/2006/main">
              <a:prstDash val="solid"/>
            </a:ln>
          </spPr>
          <marker>
            <symbol val="none"/>
            <spPr>
              <a:ln xmlns:a="http://schemas.openxmlformats.org/drawingml/2006/main">
                <a:prstDash val="solid"/>
              </a:ln>
            </spPr>
          </marker>
          <cat>
            <numRef>
              <f>'Jul'!$E$6:$AI$6</f>
            </numRef>
          </cat>
          <val>
            <numRef>
              <f>'Jul'!$W$32</f>
            </numRef>
          </val>
        </ser>
        <ser>
          <idx val="19"/>
          <order val="19"/>
          <spPr>
            <a:ln xmlns:a="http://schemas.openxmlformats.org/drawingml/2006/main">
              <a:prstDash val="solid"/>
            </a:ln>
          </spPr>
          <marker>
            <symbol val="none"/>
            <spPr>
              <a:ln xmlns:a="http://schemas.openxmlformats.org/drawingml/2006/main">
                <a:prstDash val="solid"/>
              </a:ln>
            </spPr>
          </marker>
          <cat>
            <numRef>
              <f>'Jul'!$E$6:$AI$6</f>
            </numRef>
          </cat>
          <val>
            <numRef>
              <f>'Jul'!$X$32</f>
            </numRef>
          </val>
        </ser>
        <ser>
          <idx val="20"/>
          <order val="20"/>
          <spPr>
            <a:ln xmlns:a="http://schemas.openxmlformats.org/drawingml/2006/main">
              <a:prstDash val="solid"/>
            </a:ln>
          </spPr>
          <marker>
            <symbol val="none"/>
            <spPr>
              <a:ln xmlns:a="http://schemas.openxmlformats.org/drawingml/2006/main">
                <a:prstDash val="solid"/>
              </a:ln>
            </spPr>
          </marker>
          <cat>
            <numRef>
              <f>'Jul'!$E$6:$AI$6</f>
            </numRef>
          </cat>
          <val>
            <numRef>
              <f>'Jul'!$Y$32</f>
            </numRef>
          </val>
        </ser>
        <ser>
          <idx val="21"/>
          <order val="21"/>
          <spPr>
            <a:ln xmlns:a="http://schemas.openxmlformats.org/drawingml/2006/main">
              <a:prstDash val="solid"/>
            </a:ln>
          </spPr>
          <marker>
            <symbol val="none"/>
            <spPr>
              <a:ln xmlns:a="http://schemas.openxmlformats.org/drawingml/2006/main">
                <a:prstDash val="solid"/>
              </a:ln>
            </spPr>
          </marker>
          <cat>
            <numRef>
              <f>'Jul'!$E$6:$AI$6</f>
            </numRef>
          </cat>
          <val>
            <numRef>
              <f>'Jul'!$Z$32</f>
            </numRef>
          </val>
        </ser>
        <ser>
          <idx val="22"/>
          <order val="22"/>
          <spPr>
            <a:ln xmlns:a="http://schemas.openxmlformats.org/drawingml/2006/main">
              <a:prstDash val="solid"/>
            </a:ln>
          </spPr>
          <marker>
            <symbol val="none"/>
            <spPr>
              <a:ln xmlns:a="http://schemas.openxmlformats.org/drawingml/2006/main">
                <a:prstDash val="solid"/>
              </a:ln>
            </spPr>
          </marker>
          <cat>
            <numRef>
              <f>'Jul'!$E$6:$AI$6</f>
            </numRef>
          </cat>
          <val>
            <numRef>
              <f>'Jul'!$AA$32</f>
            </numRef>
          </val>
        </ser>
        <ser>
          <idx val="23"/>
          <order val="23"/>
          <spPr>
            <a:ln xmlns:a="http://schemas.openxmlformats.org/drawingml/2006/main">
              <a:prstDash val="solid"/>
            </a:ln>
          </spPr>
          <marker>
            <symbol val="none"/>
            <spPr>
              <a:ln xmlns:a="http://schemas.openxmlformats.org/drawingml/2006/main">
                <a:prstDash val="solid"/>
              </a:ln>
            </spPr>
          </marker>
          <cat>
            <numRef>
              <f>'Jul'!$E$6:$AI$6</f>
            </numRef>
          </cat>
          <val>
            <numRef>
              <f>'Jul'!$AB$32</f>
            </numRef>
          </val>
        </ser>
        <ser>
          <idx val="24"/>
          <order val="24"/>
          <spPr>
            <a:ln xmlns:a="http://schemas.openxmlformats.org/drawingml/2006/main">
              <a:prstDash val="solid"/>
            </a:ln>
          </spPr>
          <marker>
            <symbol val="none"/>
            <spPr>
              <a:ln xmlns:a="http://schemas.openxmlformats.org/drawingml/2006/main">
                <a:prstDash val="solid"/>
              </a:ln>
            </spPr>
          </marker>
          <cat>
            <numRef>
              <f>'Jul'!$E$6:$AI$6</f>
            </numRef>
          </cat>
          <val>
            <numRef>
              <f>'Jul'!$AC$32</f>
            </numRef>
          </val>
        </ser>
        <ser>
          <idx val="25"/>
          <order val="25"/>
          <spPr>
            <a:ln xmlns:a="http://schemas.openxmlformats.org/drawingml/2006/main">
              <a:prstDash val="solid"/>
            </a:ln>
          </spPr>
          <marker>
            <symbol val="none"/>
            <spPr>
              <a:ln xmlns:a="http://schemas.openxmlformats.org/drawingml/2006/main">
                <a:prstDash val="solid"/>
              </a:ln>
            </spPr>
          </marker>
          <cat>
            <numRef>
              <f>'Jul'!$E$6:$AI$6</f>
            </numRef>
          </cat>
          <val>
            <numRef>
              <f>'Jul'!$AD$32</f>
            </numRef>
          </val>
        </ser>
        <ser>
          <idx val="26"/>
          <order val="26"/>
          <spPr>
            <a:ln xmlns:a="http://schemas.openxmlformats.org/drawingml/2006/main">
              <a:prstDash val="solid"/>
            </a:ln>
          </spPr>
          <marker>
            <symbol val="none"/>
            <spPr>
              <a:ln xmlns:a="http://schemas.openxmlformats.org/drawingml/2006/main">
                <a:prstDash val="solid"/>
              </a:ln>
            </spPr>
          </marker>
          <cat>
            <numRef>
              <f>'Jul'!$E$6:$AI$6</f>
            </numRef>
          </cat>
          <val>
            <numRef>
              <f>'Jul'!$AE$32</f>
            </numRef>
          </val>
        </ser>
        <ser>
          <idx val="27"/>
          <order val="27"/>
          <spPr>
            <a:ln xmlns:a="http://schemas.openxmlformats.org/drawingml/2006/main">
              <a:prstDash val="solid"/>
            </a:ln>
          </spPr>
          <marker>
            <symbol val="none"/>
            <spPr>
              <a:ln xmlns:a="http://schemas.openxmlformats.org/drawingml/2006/main">
                <a:prstDash val="solid"/>
              </a:ln>
            </spPr>
          </marker>
          <cat>
            <numRef>
              <f>'Jul'!$E$6:$AI$6</f>
            </numRef>
          </cat>
          <val>
            <numRef>
              <f>'Jul'!$AF$32</f>
            </numRef>
          </val>
        </ser>
        <ser>
          <idx val="28"/>
          <order val="28"/>
          <spPr>
            <a:ln xmlns:a="http://schemas.openxmlformats.org/drawingml/2006/main">
              <a:prstDash val="solid"/>
            </a:ln>
          </spPr>
          <marker>
            <symbol val="none"/>
            <spPr>
              <a:ln xmlns:a="http://schemas.openxmlformats.org/drawingml/2006/main">
                <a:prstDash val="solid"/>
              </a:ln>
            </spPr>
          </marker>
          <cat>
            <numRef>
              <f>'Jul'!$E$6:$AI$6</f>
            </numRef>
          </cat>
          <val>
            <numRef>
              <f>'Jul'!$AG$32</f>
            </numRef>
          </val>
        </ser>
        <ser>
          <idx val="29"/>
          <order val="29"/>
          <spPr>
            <a:ln xmlns:a="http://schemas.openxmlformats.org/drawingml/2006/main">
              <a:prstDash val="solid"/>
            </a:ln>
          </spPr>
          <marker>
            <symbol val="none"/>
            <spPr>
              <a:ln xmlns:a="http://schemas.openxmlformats.org/drawingml/2006/main">
                <a:prstDash val="solid"/>
              </a:ln>
            </spPr>
          </marker>
          <cat>
            <numRef>
              <f>'Jul'!$E$6:$AI$6</f>
            </numRef>
          </cat>
          <val>
            <numRef>
              <f>'Jul'!$AH$32</f>
            </numRef>
          </val>
        </ser>
        <ser>
          <idx val="30"/>
          <order val="30"/>
          <spPr>
            <a:ln xmlns:a="http://schemas.openxmlformats.org/drawingml/2006/main">
              <a:prstDash val="solid"/>
            </a:ln>
          </spPr>
          <marker>
            <symbol val="none"/>
            <spPr>
              <a:ln xmlns:a="http://schemas.openxmlformats.org/drawingml/2006/main">
                <a:prstDash val="solid"/>
              </a:ln>
            </spPr>
          </marker>
          <cat>
            <numRef>
              <f>'Jul'!$E$6:$AI$6</f>
            </numRef>
          </cat>
          <val>
            <numRef>
              <f>'Jul'!$AI$32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Points</a:t>
                </a:r>
              </a:p>
            </rich>
          </tx>
        </title>
        <majorTickMark val="none"/>
        <minorTickMark val="none"/>
        <crossAx val="10"/>
      </valAx>
    </plotArea>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Good vs Bad (Daily Counts)</a:t>
            </a:r>
          </a:p>
        </rich>
      </tx>
    </title>
    <plotArea>
      <barChart>
        <barDir val="col"/>
        <grouping val="clustered"/>
        <ser>
          <idx val="0"/>
          <order val="0"/>
          <spPr>
            <a:ln xmlns:a="http://schemas.openxmlformats.org/drawingml/2006/main">
              <a:prstDash val="solid"/>
            </a:ln>
          </spPr>
          <cat>
            <numRef>
              <f>'Jul'!$E$6:$AI$6</f>
            </numRef>
          </cat>
          <val>
            <numRef>
              <f>'Jul'!$E$30:$AI$30</f>
            </numRef>
          </val>
        </ser>
        <ser>
          <idx val="1"/>
          <order val="1"/>
          <spPr>
            <a:ln xmlns:a="http://schemas.openxmlformats.org/drawingml/2006/main">
              <a:prstDash val="solid"/>
            </a:ln>
          </spPr>
          <cat>
            <numRef>
              <f>'Jul'!$E$6:$AI$6</f>
            </numRef>
          </cat>
          <val>
            <numRef>
              <f>'Jul'!$E$31:$AI$31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Daily Net Score</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'Aug'!$E$6:$AI$6</f>
            </numRef>
          </cat>
          <val>
            <numRef>
              <f>'Aug'!$E$32</f>
            </numRef>
          </val>
        </ser>
        <ser>
          <idx val="1"/>
          <order val="1"/>
          <spPr>
            <a:ln xmlns:a="http://schemas.openxmlformats.org/drawingml/2006/main">
              <a:prstDash val="solid"/>
            </a:ln>
          </spPr>
          <marker>
            <symbol val="none"/>
            <spPr>
              <a:ln xmlns:a="http://schemas.openxmlformats.org/drawingml/2006/main">
                <a:prstDash val="solid"/>
              </a:ln>
            </spPr>
          </marker>
          <cat>
            <numRef>
              <f>'Aug'!$E$6:$AI$6</f>
            </numRef>
          </cat>
          <val>
            <numRef>
              <f>'Aug'!$F$32</f>
            </numRef>
          </val>
        </ser>
        <ser>
          <idx val="2"/>
          <order val="2"/>
          <spPr>
            <a:ln xmlns:a="http://schemas.openxmlformats.org/drawingml/2006/main">
              <a:prstDash val="solid"/>
            </a:ln>
          </spPr>
          <marker>
            <symbol val="none"/>
            <spPr>
              <a:ln xmlns:a="http://schemas.openxmlformats.org/drawingml/2006/main">
                <a:prstDash val="solid"/>
              </a:ln>
            </spPr>
          </marker>
          <cat>
            <numRef>
              <f>'Aug'!$E$6:$AI$6</f>
            </numRef>
          </cat>
          <val>
            <numRef>
              <f>'Aug'!$G$32</f>
            </numRef>
          </val>
        </ser>
        <ser>
          <idx val="3"/>
          <order val="3"/>
          <spPr>
            <a:ln xmlns:a="http://schemas.openxmlformats.org/drawingml/2006/main">
              <a:prstDash val="solid"/>
            </a:ln>
          </spPr>
          <marker>
            <symbol val="none"/>
            <spPr>
              <a:ln xmlns:a="http://schemas.openxmlformats.org/drawingml/2006/main">
                <a:prstDash val="solid"/>
              </a:ln>
            </spPr>
          </marker>
          <cat>
            <numRef>
              <f>'Aug'!$E$6:$AI$6</f>
            </numRef>
          </cat>
          <val>
            <numRef>
              <f>'Aug'!$H$32</f>
            </numRef>
          </val>
        </ser>
        <ser>
          <idx val="4"/>
          <order val="4"/>
          <spPr>
            <a:ln xmlns:a="http://schemas.openxmlformats.org/drawingml/2006/main">
              <a:prstDash val="solid"/>
            </a:ln>
          </spPr>
          <marker>
            <symbol val="none"/>
            <spPr>
              <a:ln xmlns:a="http://schemas.openxmlformats.org/drawingml/2006/main">
                <a:prstDash val="solid"/>
              </a:ln>
            </spPr>
          </marker>
          <cat>
            <numRef>
              <f>'Aug'!$E$6:$AI$6</f>
            </numRef>
          </cat>
          <val>
            <numRef>
              <f>'Aug'!$I$32</f>
            </numRef>
          </val>
        </ser>
        <ser>
          <idx val="5"/>
          <order val="5"/>
          <spPr>
            <a:ln xmlns:a="http://schemas.openxmlformats.org/drawingml/2006/main">
              <a:prstDash val="solid"/>
            </a:ln>
          </spPr>
          <marker>
            <symbol val="none"/>
            <spPr>
              <a:ln xmlns:a="http://schemas.openxmlformats.org/drawingml/2006/main">
                <a:prstDash val="solid"/>
              </a:ln>
            </spPr>
          </marker>
          <cat>
            <numRef>
              <f>'Aug'!$E$6:$AI$6</f>
            </numRef>
          </cat>
          <val>
            <numRef>
              <f>'Aug'!$J$32</f>
            </numRef>
          </val>
        </ser>
        <ser>
          <idx val="6"/>
          <order val="6"/>
          <spPr>
            <a:ln xmlns:a="http://schemas.openxmlformats.org/drawingml/2006/main">
              <a:prstDash val="solid"/>
            </a:ln>
          </spPr>
          <marker>
            <symbol val="none"/>
            <spPr>
              <a:ln xmlns:a="http://schemas.openxmlformats.org/drawingml/2006/main">
                <a:prstDash val="solid"/>
              </a:ln>
            </spPr>
          </marker>
          <cat>
            <numRef>
              <f>'Aug'!$E$6:$AI$6</f>
            </numRef>
          </cat>
          <val>
            <numRef>
              <f>'Aug'!$K$32</f>
            </numRef>
          </val>
        </ser>
        <ser>
          <idx val="7"/>
          <order val="7"/>
          <spPr>
            <a:ln xmlns:a="http://schemas.openxmlformats.org/drawingml/2006/main">
              <a:prstDash val="solid"/>
            </a:ln>
          </spPr>
          <marker>
            <symbol val="none"/>
            <spPr>
              <a:ln xmlns:a="http://schemas.openxmlformats.org/drawingml/2006/main">
                <a:prstDash val="solid"/>
              </a:ln>
            </spPr>
          </marker>
          <cat>
            <numRef>
              <f>'Aug'!$E$6:$AI$6</f>
            </numRef>
          </cat>
          <val>
            <numRef>
              <f>'Aug'!$L$32</f>
            </numRef>
          </val>
        </ser>
        <ser>
          <idx val="8"/>
          <order val="8"/>
          <spPr>
            <a:ln xmlns:a="http://schemas.openxmlformats.org/drawingml/2006/main">
              <a:prstDash val="solid"/>
            </a:ln>
          </spPr>
          <marker>
            <symbol val="none"/>
            <spPr>
              <a:ln xmlns:a="http://schemas.openxmlformats.org/drawingml/2006/main">
                <a:prstDash val="solid"/>
              </a:ln>
            </spPr>
          </marker>
          <cat>
            <numRef>
              <f>'Aug'!$E$6:$AI$6</f>
            </numRef>
          </cat>
          <val>
            <numRef>
              <f>'Aug'!$M$32</f>
            </numRef>
          </val>
        </ser>
        <ser>
          <idx val="9"/>
          <order val="9"/>
          <spPr>
            <a:ln xmlns:a="http://schemas.openxmlformats.org/drawingml/2006/main">
              <a:prstDash val="solid"/>
            </a:ln>
          </spPr>
          <marker>
            <symbol val="none"/>
            <spPr>
              <a:ln xmlns:a="http://schemas.openxmlformats.org/drawingml/2006/main">
                <a:prstDash val="solid"/>
              </a:ln>
            </spPr>
          </marker>
          <cat>
            <numRef>
              <f>'Aug'!$E$6:$AI$6</f>
            </numRef>
          </cat>
          <val>
            <numRef>
              <f>'Aug'!$N$32</f>
            </numRef>
          </val>
        </ser>
        <ser>
          <idx val="10"/>
          <order val="10"/>
          <spPr>
            <a:ln xmlns:a="http://schemas.openxmlformats.org/drawingml/2006/main">
              <a:prstDash val="solid"/>
            </a:ln>
          </spPr>
          <marker>
            <symbol val="none"/>
            <spPr>
              <a:ln xmlns:a="http://schemas.openxmlformats.org/drawingml/2006/main">
                <a:prstDash val="solid"/>
              </a:ln>
            </spPr>
          </marker>
          <cat>
            <numRef>
              <f>'Aug'!$E$6:$AI$6</f>
            </numRef>
          </cat>
          <val>
            <numRef>
              <f>'Aug'!$O$32</f>
            </numRef>
          </val>
        </ser>
        <ser>
          <idx val="11"/>
          <order val="11"/>
          <spPr>
            <a:ln xmlns:a="http://schemas.openxmlformats.org/drawingml/2006/main">
              <a:prstDash val="solid"/>
            </a:ln>
          </spPr>
          <marker>
            <symbol val="none"/>
            <spPr>
              <a:ln xmlns:a="http://schemas.openxmlformats.org/drawingml/2006/main">
                <a:prstDash val="solid"/>
              </a:ln>
            </spPr>
          </marker>
          <cat>
            <numRef>
              <f>'Aug'!$E$6:$AI$6</f>
            </numRef>
          </cat>
          <val>
            <numRef>
              <f>'Aug'!$P$32</f>
            </numRef>
          </val>
        </ser>
        <ser>
          <idx val="12"/>
          <order val="12"/>
          <spPr>
            <a:ln xmlns:a="http://schemas.openxmlformats.org/drawingml/2006/main">
              <a:prstDash val="solid"/>
            </a:ln>
          </spPr>
          <marker>
            <symbol val="none"/>
            <spPr>
              <a:ln xmlns:a="http://schemas.openxmlformats.org/drawingml/2006/main">
                <a:prstDash val="solid"/>
              </a:ln>
            </spPr>
          </marker>
          <cat>
            <numRef>
              <f>'Aug'!$E$6:$AI$6</f>
            </numRef>
          </cat>
          <val>
            <numRef>
              <f>'Aug'!$Q$32</f>
            </numRef>
          </val>
        </ser>
        <ser>
          <idx val="13"/>
          <order val="13"/>
          <spPr>
            <a:ln xmlns:a="http://schemas.openxmlformats.org/drawingml/2006/main">
              <a:prstDash val="solid"/>
            </a:ln>
          </spPr>
          <marker>
            <symbol val="none"/>
            <spPr>
              <a:ln xmlns:a="http://schemas.openxmlformats.org/drawingml/2006/main">
                <a:prstDash val="solid"/>
              </a:ln>
            </spPr>
          </marker>
          <cat>
            <numRef>
              <f>'Aug'!$E$6:$AI$6</f>
            </numRef>
          </cat>
          <val>
            <numRef>
              <f>'Aug'!$R$32</f>
            </numRef>
          </val>
        </ser>
        <ser>
          <idx val="14"/>
          <order val="14"/>
          <spPr>
            <a:ln xmlns:a="http://schemas.openxmlformats.org/drawingml/2006/main">
              <a:prstDash val="solid"/>
            </a:ln>
          </spPr>
          <marker>
            <symbol val="none"/>
            <spPr>
              <a:ln xmlns:a="http://schemas.openxmlformats.org/drawingml/2006/main">
                <a:prstDash val="solid"/>
              </a:ln>
            </spPr>
          </marker>
          <cat>
            <numRef>
              <f>'Aug'!$E$6:$AI$6</f>
            </numRef>
          </cat>
          <val>
            <numRef>
              <f>'Aug'!$S$32</f>
            </numRef>
          </val>
        </ser>
        <ser>
          <idx val="15"/>
          <order val="15"/>
          <spPr>
            <a:ln xmlns:a="http://schemas.openxmlformats.org/drawingml/2006/main">
              <a:prstDash val="solid"/>
            </a:ln>
          </spPr>
          <marker>
            <symbol val="none"/>
            <spPr>
              <a:ln xmlns:a="http://schemas.openxmlformats.org/drawingml/2006/main">
                <a:prstDash val="solid"/>
              </a:ln>
            </spPr>
          </marker>
          <cat>
            <numRef>
              <f>'Aug'!$E$6:$AI$6</f>
            </numRef>
          </cat>
          <val>
            <numRef>
              <f>'Aug'!$T$32</f>
            </numRef>
          </val>
        </ser>
        <ser>
          <idx val="16"/>
          <order val="16"/>
          <spPr>
            <a:ln xmlns:a="http://schemas.openxmlformats.org/drawingml/2006/main">
              <a:prstDash val="solid"/>
            </a:ln>
          </spPr>
          <marker>
            <symbol val="none"/>
            <spPr>
              <a:ln xmlns:a="http://schemas.openxmlformats.org/drawingml/2006/main">
                <a:prstDash val="solid"/>
              </a:ln>
            </spPr>
          </marker>
          <cat>
            <numRef>
              <f>'Aug'!$E$6:$AI$6</f>
            </numRef>
          </cat>
          <val>
            <numRef>
              <f>'Aug'!$U$32</f>
            </numRef>
          </val>
        </ser>
        <ser>
          <idx val="17"/>
          <order val="17"/>
          <spPr>
            <a:ln xmlns:a="http://schemas.openxmlformats.org/drawingml/2006/main">
              <a:prstDash val="solid"/>
            </a:ln>
          </spPr>
          <marker>
            <symbol val="none"/>
            <spPr>
              <a:ln xmlns:a="http://schemas.openxmlformats.org/drawingml/2006/main">
                <a:prstDash val="solid"/>
              </a:ln>
            </spPr>
          </marker>
          <cat>
            <numRef>
              <f>'Aug'!$E$6:$AI$6</f>
            </numRef>
          </cat>
          <val>
            <numRef>
              <f>'Aug'!$V$32</f>
            </numRef>
          </val>
        </ser>
        <ser>
          <idx val="18"/>
          <order val="18"/>
          <spPr>
            <a:ln xmlns:a="http://schemas.openxmlformats.org/drawingml/2006/main">
              <a:prstDash val="solid"/>
            </a:ln>
          </spPr>
          <marker>
            <symbol val="none"/>
            <spPr>
              <a:ln xmlns:a="http://schemas.openxmlformats.org/drawingml/2006/main">
                <a:prstDash val="solid"/>
              </a:ln>
            </spPr>
          </marker>
          <cat>
            <numRef>
              <f>'Aug'!$E$6:$AI$6</f>
            </numRef>
          </cat>
          <val>
            <numRef>
              <f>'Aug'!$W$32</f>
            </numRef>
          </val>
        </ser>
        <ser>
          <idx val="19"/>
          <order val="19"/>
          <spPr>
            <a:ln xmlns:a="http://schemas.openxmlformats.org/drawingml/2006/main">
              <a:prstDash val="solid"/>
            </a:ln>
          </spPr>
          <marker>
            <symbol val="none"/>
            <spPr>
              <a:ln xmlns:a="http://schemas.openxmlformats.org/drawingml/2006/main">
                <a:prstDash val="solid"/>
              </a:ln>
            </spPr>
          </marker>
          <cat>
            <numRef>
              <f>'Aug'!$E$6:$AI$6</f>
            </numRef>
          </cat>
          <val>
            <numRef>
              <f>'Aug'!$X$32</f>
            </numRef>
          </val>
        </ser>
        <ser>
          <idx val="20"/>
          <order val="20"/>
          <spPr>
            <a:ln xmlns:a="http://schemas.openxmlformats.org/drawingml/2006/main">
              <a:prstDash val="solid"/>
            </a:ln>
          </spPr>
          <marker>
            <symbol val="none"/>
            <spPr>
              <a:ln xmlns:a="http://schemas.openxmlformats.org/drawingml/2006/main">
                <a:prstDash val="solid"/>
              </a:ln>
            </spPr>
          </marker>
          <cat>
            <numRef>
              <f>'Aug'!$E$6:$AI$6</f>
            </numRef>
          </cat>
          <val>
            <numRef>
              <f>'Aug'!$Y$32</f>
            </numRef>
          </val>
        </ser>
        <ser>
          <idx val="21"/>
          <order val="21"/>
          <spPr>
            <a:ln xmlns:a="http://schemas.openxmlformats.org/drawingml/2006/main">
              <a:prstDash val="solid"/>
            </a:ln>
          </spPr>
          <marker>
            <symbol val="none"/>
            <spPr>
              <a:ln xmlns:a="http://schemas.openxmlformats.org/drawingml/2006/main">
                <a:prstDash val="solid"/>
              </a:ln>
            </spPr>
          </marker>
          <cat>
            <numRef>
              <f>'Aug'!$E$6:$AI$6</f>
            </numRef>
          </cat>
          <val>
            <numRef>
              <f>'Aug'!$Z$32</f>
            </numRef>
          </val>
        </ser>
        <ser>
          <idx val="22"/>
          <order val="22"/>
          <spPr>
            <a:ln xmlns:a="http://schemas.openxmlformats.org/drawingml/2006/main">
              <a:prstDash val="solid"/>
            </a:ln>
          </spPr>
          <marker>
            <symbol val="none"/>
            <spPr>
              <a:ln xmlns:a="http://schemas.openxmlformats.org/drawingml/2006/main">
                <a:prstDash val="solid"/>
              </a:ln>
            </spPr>
          </marker>
          <cat>
            <numRef>
              <f>'Aug'!$E$6:$AI$6</f>
            </numRef>
          </cat>
          <val>
            <numRef>
              <f>'Aug'!$AA$32</f>
            </numRef>
          </val>
        </ser>
        <ser>
          <idx val="23"/>
          <order val="23"/>
          <spPr>
            <a:ln xmlns:a="http://schemas.openxmlformats.org/drawingml/2006/main">
              <a:prstDash val="solid"/>
            </a:ln>
          </spPr>
          <marker>
            <symbol val="none"/>
            <spPr>
              <a:ln xmlns:a="http://schemas.openxmlformats.org/drawingml/2006/main">
                <a:prstDash val="solid"/>
              </a:ln>
            </spPr>
          </marker>
          <cat>
            <numRef>
              <f>'Aug'!$E$6:$AI$6</f>
            </numRef>
          </cat>
          <val>
            <numRef>
              <f>'Aug'!$AB$32</f>
            </numRef>
          </val>
        </ser>
        <ser>
          <idx val="24"/>
          <order val="24"/>
          <spPr>
            <a:ln xmlns:a="http://schemas.openxmlformats.org/drawingml/2006/main">
              <a:prstDash val="solid"/>
            </a:ln>
          </spPr>
          <marker>
            <symbol val="none"/>
            <spPr>
              <a:ln xmlns:a="http://schemas.openxmlformats.org/drawingml/2006/main">
                <a:prstDash val="solid"/>
              </a:ln>
            </spPr>
          </marker>
          <cat>
            <numRef>
              <f>'Aug'!$E$6:$AI$6</f>
            </numRef>
          </cat>
          <val>
            <numRef>
              <f>'Aug'!$AC$32</f>
            </numRef>
          </val>
        </ser>
        <ser>
          <idx val="25"/>
          <order val="25"/>
          <spPr>
            <a:ln xmlns:a="http://schemas.openxmlformats.org/drawingml/2006/main">
              <a:prstDash val="solid"/>
            </a:ln>
          </spPr>
          <marker>
            <symbol val="none"/>
            <spPr>
              <a:ln xmlns:a="http://schemas.openxmlformats.org/drawingml/2006/main">
                <a:prstDash val="solid"/>
              </a:ln>
            </spPr>
          </marker>
          <cat>
            <numRef>
              <f>'Aug'!$E$6:$AI$6</f>
            </numRef>
          </cat>
          <val>
            <numRef>
              <f>'Aug'!$AD$32</f>
            </numRef>
          </val>
        </ser>
        <ser>
          <idx val="26"/>
          <order val="26"/>
          <spPr>
            <a:ln xmlns:a="http://schemas.openxmlformats.org/drawingml/2006/main">
              <a:prstDash val="solid"/>
            </a:ln>
          </spPr>
          <marker>
            <symbol val="none"/>
            <spPr>
              <a:ln xmlns:a="http://schemas.openxmlformats.org/drawingml/2006/main">
                <a:prstDash val="solid"/>
              </a:ln>
            </spPr>
          </marker>
          <cat>
            <numRef>
              <f>'Aug'!$E$6:$AI$6</f>
            </numRef>
          </cat>
          <val>
            <numRef>
              <f>'Aug'!$AE$32</f>
            </numRef>
          </val>
        </ser>
        <ser>
          <idx val="27"/>
          <order val="27"/>
          <spPr>
            <a:ln xmlns:a="http://schemas.openxmlformats.org/drawingml/2006/main">
              <a:prstDash val="solid"/>
            </a:ln>
          </spPr>
          <marker>
            <symbol val="none"/>
            <spPr>
              <a:ln xmlns:a="http://schemas.openxmlformats.org/drawingml/2006/main">
                <a:prstDash val="solid"/>
              </a:ln>
            </spPr>
          </marker>
          <cat>
            <numRef>
              <f>'Aug'!$E$6:$AI$6</f>
            </numRef>
          </cat>
          <val>
            <numRef>
              <f>'Aug'!$AF$32</f>
            </numRef>
          </val>
        </ser>
        <ser>
          <idx val="28"/>
          <order val="28"/>
          <spPr>
            <a:ln xmlns:a="http://schemas.openxmlformats.org/drawingml/2006/main">
              <a:prstDash val="solid"/>
            </a:ln>
          </spPr>
          <marker>
            <symbol val="none"/>
            <spPr>
              <a:ln xmlns:a="http://schemas.openxmlformats.org/drawingml/2006/main">
                <a:prstDash val="solid"/>
              </a:ln>
            </spPr>
          </marker>
          <cat>
            <numRef>
              <f>'Aug'!$E$6:$AI$6</f>
            </numRef>
          </cat>
          <val>
            <numRef>
              <f>'Aug'!$AG$32</f>
            </numRef>
          </val>
        </ser>
        <ser>
          <idx val="29"/>
          <order val="29"/>
          <spPr>
            <a:ln xmlns:a="http://schemas.openxmlformats.org/drawingml/2006/main">
              <a:prstDash val="solid"/>
            </a:ln>
          </spPr>
          <marker>
            <symbol val="none"/>
            <spPr>
              <a:ln xmlns:a="http://schemas.openxmlformats.org/drawingml/2006/main">
                <a:prstDash val="solid"/>
              </a:ln>
            </spPr>
          </marker>
          <cat>
            <numRef>
              <f>'Aug'!$E$6:$AI$6</f>
            </numRef>
          </cat>
          <val>
            <numRef>
              <f>'Aug'!$AH$32</f>
            </numRef>
          </val>
        </ser>
        <ser>
          <idx val="30"/>
          <order val="30"/>
          <spPr>
            <a:ln xmlns:a="http://schemas.openxmlformats.org/drawingml/2006/main">
              <a:prstDash val="solid"/>
            </a:ln>
          </spPr>
          <marker>
            <symbol val="none"/>
            <spPr>
              <a:ln xmlns:a="http://schemas.openxmlformats.org/drawingml/2006/main">
                <a:prstDash val="solid"/>
              </a:ln>
            </spPr>
          </marker>
          <cat>
            <numRef>
              <f>'Aug'!$E$6:$AI$6</f>
            </numRef>
          </cat>
          <val>
            <numRef>
              <f>'Aug'!$AI$32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Points</a:t>
                </a:r>
              </a:p>
            </rich>
          </tx>
        </title>
        <majorTickMark val="none"/>
        <minorTickMark val="none"/>
        <crossAx val="10"/>
      </valAx>
    </plotArea>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Good vs Bad (Daily Counts)</a:t>
            </a:r>
          </a:p>
        </rich>
      </tx>
    </title>
    <plotArea>
      <barChart>
        <barDir val="col"/>
        <grouping val="clustered"/>
        <ser>
          <idx val="0"/>
          <order val="0"/>
          <spPr>
            <a:ln xmlns:a="http://schemas.openxmlformats.org/drawingml/2006/main">
              <a:prstDash val="solid"/>
            </a:ln>
          </spPr>
          <cat>
            <numRef>
              <f>'Aug'!$E$6:$AI$6</f>
            </numRef>
          </cat>
          <val>
            <numRef>
              <f>'Aug'!$E$30:$AI$30</f>
            </numRef>
          </val>
        </ser>
        <ser>
          <idx val="1"/>
          <order val="1"/>
          <spPr>
            <a:ln xmlns:a="http://schemas.openxmlformats.org/drawingml/2006/main">
              <a:prstDash val="solid"/>
            </a:ln>
          </spPr>
          <cat>
            <numRef>
              <f>'Aug'!$E$6:$AI$6</f>
            </numRef>
          </cat>
          <val>
            <numRef>
              <f>'Aug'!$E$31:$AI$31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Daily Net Score</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'Sep'!$E$6:$AI$6</f>
            </numRef>
          </cat>
          <val>
            <numRef>
              <f>'Sep'!$E$32</f>
            </numRef>
          </val>
        </ser>
        <ser>
          <idx val="1"/>
          <order val="1"/>
          <spPr>
            <a:ln xmlns:a="http://schemas.openxmlformats.org/drawingml/2006/main">
              <a:prstDash val="solid"/>
            </a:ln>
          </spPr>
          <marker>
            <symbol val="none"/>
            <spPr>
              <a:ln xmlns:a="http://schemas.openxmlformats.org/drawingml/2006/main">
                <a:prstDash val="solid"/>
              </a:ln>
            </spPr>
          </marker>
          <cat>
            <numRef>
              <f>'Sep'!$E$6:$AI$6</f>
            </numRef>
          </cat>
          <val>
            <numRef>
              <f>'Sep'!$F$32</f>
            </numRef>
          </val>
        </ser>
        <ser>
          <idx val="2"/>
          <order val="2"/>
          <spPr>
            <a:ln xmlns:a="http://schemas.openxmlformats.org/drawingml/2006/main">
              <a:prstDash val="solid"/>
            </a:ln>
          </spPr>
          <marker>
            <symbol val="none"/>
            <spPr>
              <a:ln xmlns:a="http://schemas.openxmlformats.org/drawingml/2006/main">
                <a:prstDash val="solid"/>
              </a:ln>
            </spPr>
          </marker>
          <cat>
            <numRef>
              <f>'Sep'!$E$6:$AI$6</f>
            </numRef>
          </cat>
          <val>
            <numRef>
              <f>'Sep'!$G$32</f>
            </numRef>
          </val>
        </ser>
        <ser>
          <idx val="3"/>
          <order val="3"/>
          <spPr>
            <a:ln xmlns:a="http://schemas.openxmlformats.org/drawingml/2006/main">
              <a:prstDash val="solid"/>
            </a:ln>
          </spPr>
          <marker>
            <symbol val="none"/>
            <spPr>
              <a:ln xmlns:a="http://schemas.openxmlformats.org/drawingml/2006/main">
                <a:prstDash val="solid"/>
              </a:ln>
            </spPr>
          </marker>
          <cat>
            <numRef>
              <f>'Sep'!$E$6:$AI$6</f>
            </numRef>
          </cat>
          <val>
            <numRef>
              <f>'Sep'!$H$32</f>
            </numRef>
          </val>
        </ser>
        <ser>
          <idx val="4"/>
          <order val="4"/>
          <spPr>
            <a:ln xmlns:a="http://schemas.openxmlformats.org/drawingml/2006/main">
              <a:prstDash val="solid"/>
            </a:ln>
          </spPr>
          <marker>
            <symbol val="none"/>
            <spPr>
              <a:ln xmlns:a="http://schemas.openxmlformats.org/drawingml/2006/main">
                <a:prstDash val="solid"/>
              </a:ln>
            </spPr>
          </marker>
          <cat>
            <numRef>
              <f>'Sep'!$E$6:$AI$6</f>
            </numRef>
          </cat>
          <val>
            <numRef>
              <f>'Sep'!$I$32</f>
            </numRef>
          </val>
        </ser>
        <ser>
          <idx val="5"/>
          <order val="5"/>
          <spPr>
            <a:ln xmlns:a="http://schemas.openxmlformats.org/drawingml/2006/main">
              <a:prstDash val="solid"/>
            </a:ln>
          </spPr>
          <marker>
            <symbol val="none"/>
            <spPr>
              <a:ln xmlns:a="http://schemas.openxmlformats.org/drawingml/2006/main">
                <a:prstDash val="solid"/>
              </a:ln>
            </spPr>
          </marker>
          <cat>
            <numRef>
              <f>'Sep'!$E$6:$AI$6</f>
            </numRef>
          </cat>
          <val>
            <numRef>
              <f>'Sep'!$J$32</f>
            </numRef>
          </val>
        </ser>
        <ser>
          <idx val="6"/>
          <order val="6"/>
          <spPr>
            <a:ln xmlns:a="http://schemas.openxmlformats.org/drawingml/2006/main">
              <a:prstDash val="solid"/>
            </a:ln>
          </spPr>
          <marker>
            <symbol val="none"/>
            <spPr>
              <a:ln xmlns:a="http://schemas.openxmlformats.org/drawingml/2006/main">
                <a:prstDash val="solid"/>
              </a:ln>
            </spPr>
          </marker>
          <cat>
            <numRef>
              <f>'Sep'!$E$6:$AI$6</f>
            </numRef>
          </cat>
          <val>
            <numRef>
              <f>'Sep'!$K$32</f>
            </numRef>
          </val>
        </ser>
        <ser>
          <idx val="7"/>
          <order val="7"/>
          <spPr>
            <a:ln xmlns:a="http://schemas.openxmlformats.org/drawingml/2006/main">
              <a:prstDash val="solid"/>
            </a:ln>
          </spPr>
          <marker>
            <symbol val="none"/>
            <spPr>
              <a:ln xmlns:a="http://schemas.openxmlformats.org/drawingml/2006/main">
                <a:prstDash val="solid"/>
              </a:ln>
            </spPr>
          </marker>
          <cat>
            <numRef>
              <f>'Sep'!$E$6:$AI$6</f>
            </numRef>
          </cat>
          <val>
            <numRef>
              <f>'Sep'!$L$32</f>
            </numRef>
          </val>
        </ser>
        <ser>
          <idx val="8"/>
          <order val="8"/>
          <spPr>
            <a:ln xmlns:a="http://schemas.openxmlformats.org/drawingml/2006/main">
              <a:prstDash val="solid"/>
            </a:ln>
          </spPr>
          <marker>
            <symbol val="none"/>
            <spPr>
              <a:ln xmlns:a="http://schemas.openxmlformats.org/drawingml/2006/main">
                <a:prstDash val="solid"/>
              </a:ln>
            </spPr>
          </marker>
          <cat>
            <numRef>
              <f>'Sep'!$E$6:$AI$6</f>
            </numRef>
          </cat>
          <val>
            <numRef>
              <f>'Sep'!$M$32</f>
            </numRef>
          </val>
        </ser>
        <ser>
          <idx val="9"/>
          <order val="9"/>
          <spPr>
            <a:ln xmlns:a="http://schemas.openxmlformats.org/drawingml/2006/main">
              <a:prstDash val="solid"/>
            </a:ln>
          </spPr>
          <marker>
            <symbol val="none"/>
            <spPr>
              <a:ln xmlns:a="http://schemas.openxmlformats.org/drawingml/2006/main">
                <a:prstDash val="solid"/>
              </a:ln>
            </spPr>
          </marker>
          <cat>
            <numRef>
              <f>'Sep'!$E$6:$AI$6</f>
            </numRef>
          </cat>
          <val>
            <numRef>
              <f>'Sep'!$N$32</f>
            </numRef>
          </val>
        </ser>
        <ser>
          <idx val="10"/>
          <order val="10"/>
          <spPr>
            <a:ln xmlns:a="http://schemas.openxmlformats.org/drawingml/2006/main">
              <a:prstDash val="solid"/>
            </a:ln>
          </spPr>
          <marker>
            <symbol val="none"/>
            <spPr>
              <a:ln xmlns:a="http://schemas.openxmlformats.org/drawingml/2006/main">
                <a:prstDash val="solid"/>
              </a:ln>
            </spPr>
          </marker>
          <cat>
            <numRef>
              <f>'Sep'!$E$6:$AI$6</f>
            </numRef>
          </cat>
          <val>
            <numRef>
              <f>'Sep'!$O$32</f>
            </numRef>
          </val>
        </ser>
        <ser>
          <idx val="11"/>
          <order val="11"/>
          <spPr>
            <a:ln xmlns:a="http://schemas.openxmlformats.org/drawingml/2006/main">
              <a:prstDash val="solid"/>
            </a:ln>
          </spPr>
          <marker>
            <symbol val="none"/>
            <spPr>
              <a:ln xmlns:a="http://schemas.openxmlformats.org/drawingml/2006/main">
                <a:prstDash val="solid"/>
              </a:ln>
            </spPr>
          </marker>
          <cat>
            <numRef>
              <f>'Sep'!$E$6:$AI$6</f>
            </numRef>
          </cat>
          <val>
            <numRef>
              <f>'Sep'!$P$32</f>
            </numRef>
          </val>
        </ser>
        <ser>
          <idx val="12"/>
          <order val="12"/>
          <spPr>
            <a:ln xmlns:a="http://schemas.openxmlformats.org/drawingml/2006/main">
              <a:prstDash val="solid"/>
            </a:ln>
          </spPr>
          <marker>
            <symbol val="none"/>
            <spPr>
              <a:ln xmlns:a="http://schemas.openxmlformats.org/drawingml/2006/main">
                <a:prstDash val="solid"/>
              </a:ln>
            </spPr>
          </marker>
          <cat>
            <numRef>
              <f>'Sep'!$E$6:$AI$6</f>
            </numRef>
          </cat>
          <val>
            <numRef>
              <f>'Sep'!$Q$32</f>
            </numRef>
          </val>
        </ser>
        <ser>
          <idx val="13"/>
          <order val="13"/>
          <spPr>
            <a:ln xmlns:a="http://schemas.openxmlformats.org/drawingml/2006/main">
              <a:prstDash val="solid"/>
            </a:ln>
          </spPr>
          <marker>
            <symbol val="none"/>
            <spPr>
              <a:ln xmlns:a="http://schemas.openxmlformats.org/drawingml/2006/main">
                <a:prstDash val="solid"/>
              </a:ln>
            </spPr>
          </marker>
          <cat>
            <numRef>
              <f>'Sep'!$E$6:$AI$6</f>
            </numRef>
          </cat>
          <val>
            <numRef>
              <f>'Sep'!$R$32</f>
            </numRef>
          </val>
        </ser>
        <ser>
          <idx val="14"/>
          <order val="14"/>
          <spPr>
            <a:ln xmlns:a="http://schemas.openxmlformats.org/drawingml/2006/main">
              <a:prstDash val="solid"/>
            </a:ln>
          </spPr>
          <marker>
            <symbol val="none"/>
            <spPr>
              <a:ln xmlns:a="http://schemas.openxmlformats.org/drawingml/2006/main">
                <a:prstDash val="solid"/>
              </a:ln>
            </spPr>
          </marker>
          <cat>
            <numRef>
              <f>'Sep'!$E$6:$AI$6</f>
            </numRef>
          </cat>
          <val>
            <numRef>
              <f>'Sep'!$S$32</f>
            </numRef>
          </val>
        </ser>
        <ser>
          <idx val="15"/>
          <order val="15"/>
          <spPr>
            <a:ln xmlns:a="http://schemas.openxmlformats.org/drawingml/2006/main">
              <a:prstDash val="solid"/>
            </a:ln>
          </spPr>
          <marker>
            <symbol val="none"/>
            <spPr>
              <a:ln xmlns:a="http://schemas.openxmlformats.org/drawingml/2006/main">
                <a:prstDash val="solid"/>
              </a:ln>
            </spPr>
          </marker>
          <cat>
            <numRef>
              <f>'Sep'!$E$6:$AI$6</f>
            </numRef>
          </cat>
          <val>
            <numRef>
              <f>'Sep'!$T$32</f>
            </numRef>
          </val>
        </ser>
        <ser>
          <idx val="16"/>
          <order val="16"/>
          <spPr>
            <a:ln xmlns:a="http://schemas.openxmlformats.org/drawingml/2006/main">
              <a:prstDash val="solid"/>
            </a:ln>
          </spPr>
          <marker>
            <symbol val="none"/>
            <spPr>
              <a:ln xmlns:a="http://schemas.openxmlformats.org/drawingml/2006/main">
                <a:prstDash val="solid"/>
              </a:ln>
            </spPr>
          </marker>
          <cat>
            <numRef>
              <f>'Sep'!$E$6:$AI$6</f>
            </numRef>
          </cat>
          <val>
            <numRef>
              <f>'Sep'!$U$32</f>
            </numRef>
          </val>
        </ser>
        <ser>
          <idx val="17"/>
          <order val="17"/>
          <spPr>
            <a:ln xmlns:a="http://schemas.openxmlformats.org/drawingml/2006/main">
              <a:prstDash val="solid"/>
            </a:ln>
          </spPr>
          <marker>
            <symbol val="none"/>
            <spPr>
              <a:ln xmlns:a="http://schemas.openxmlformats.org/drawingml/2006/main">
                <a:prstDash val="solid"/>
              </a:ln>
            </spPr>
          </marker>
          <cat>
            <numRef>
              <f>'Sep'!$E$6:$AI$6</f>
            </numRef>
          </cat>
          <val>
            <numRef>
              <f>'Sep'!$V$32</f>
            </numRef>
          </val>
        </ser>
        <ser>
          <idx val="18"/>
          <order val="18"/>
          <spPr>
            <a:ln xmlns:a="http://schemas.openxmlformats.org/drawingml/2006/main">
              <a:prstDash val="solid"/>
            </a:ln>
          </spPr>
          <marker>
            <symbol val="none"/>
            <spPr>
              <a:ln xmlns:a="http://schemas.openxmlformats.org/drawingml/2006/main">
                <a:prstDash val="solid"/>
              </a:ln>
            </spPr>
          </marker>
          <cat>
            <numRef>
              <f>'Sep'!$E$6:$AI$6</f>
            </numRef>
          </cat>
          <val>
            <numRef>
              <f>'Sep'!$W$32</f>
            </numRef>
          </val>
        </ser>
        <ser>
          <idx val="19"/>
          <order val="19"/>
          <spPr>
            <a:ln xmlns:a="http://schemas.openxmlformats.org/drawingml/2006/main">
              <a:prstDash val="solid"/>
            </a:ln>
          </spPr>
          <marker>
            <symbol val="none"/>
            <spPr>
              <a:ln xmlns:a="http://schemas.openxmlformats.org/drawingml/2006/main">
                <a:prstDash val="solid"/>
              </a:ln>
            </spPr>
          </marker>
          <cat>
            <numRef>
              <f>'Sep'!$E$6:$AI$6</f>
            </numRef>
          </cat>
          <val>
            <numRef>
              <f>'Sep'!$X$32</f>
            </numRef>
          </val>
        </ser>
        <ser>
          <idx val="20"/>
          <order val="20"/>
          <spPr>
            <a:ln xmlns:a="http://schemas.openxmlformats.org/drawingml/2006/main">
              <a:prstDash val="solid"/>
            </a:ln>
          </spPr>
          <marker>
            <symbol val="none"/>
            <spPr>
              <a:ln xmlns:a="http://schemas.openxmlformats.org/drawingml/2006/main">
                <a:prstDash val="solid"/>
              </a:ln>
            </spPr>
          </marker>
          <cat>
            <numRef>
              <f>'Sep'!$E$6:$AI$6</f>
            </numRef>
          </cat>
          <val>
            <numRef>
              <f>'Sep'!$Y$32</f>
            </numRef>
          </val>
        </ser>
        <ser>
          <idx val="21"/>
          <order val="21"/>
          <spPr>
            <a:ln xmlns:a="http://schemas.openxmlformats.org/drawingml/2006/main">
              <a:prstDash val="solid"/>
            </a:ln>
          </spPr>
          <marker>
            <symbol val="none"/>
            <spPr>
              <a:ln xmlns:a="http://schemas.openxmlformats.org/drawingml/2006/main">
                <a:prstDash val="solid"/>
              </a:ln>
            </spPr>
          </marker>
          <cat>
            <numRef>
              <f>'Sep'!$E$6:$AI$6</f>
            </numRef>
          </cat>
          <val>
            <numRef>
              <f>'Sep'!$Z$32</f>
            </numRef>
          </val>
        </ser>
        <ser>
          <idx val="22"/>
          <order val="22"/>
          <spPr>
            <a:ln xmlns:a="http://schemas.openxmlformats.org/drawingml/2006/main">
              <a:prstDash val="solid"/>
            </a:ln>
          </spPr>
          <marker>
            <symbol val="none"/>
            <spPr>
              <a:ln xmlns:a="http://schemas.openxmlformats.org/drawingml/2006/main">
                <a:prstDash val="solid"/>
              </a:ln>
            </spPr>
          </marker>
          <cat>
            <numRef>
              <f>'Sep'!$E$6:$AI$6</f>
            </numRef>
          </cat>
          <val>
            <numRef>
              <f>'Sep'!$AA$32</f>
            </numRef>
          </val>
        </ser>
        <ser>
          <idx val="23"/>
          <order val="23"/>
          <spPr>
            <a:ln xmlns:a="http://schemas.openxmlformats.org/drawingml/2006/main">
              <a:prstDash val="solid"/>
            </a:ln>
          </spPr>
          <marker>
            <symbol val="none"/>
            <spPr>
              <a:ln xmlns:a="http://schemas.openxmlformats.org/drawingml/2006/main">
                <a:prstDash val="solid"/>
              </a:ln>
            </spPr>
          </marker>
          <cat>
            <numRef>
              <f>'Sep'!$E$6:$AI$6</f>
            </numRef>
          </cat>
          <val>
            <numRef>
              <f>'Sep'!$AB$32</f>
            </numRef>
          </val>
        </ser>
        <ser>
          <idx val="24"/>
          <order val="24"/>
          <spPr>
            <a:ln xmlns:a="http://schemas.openxmlformats.org/drawingml/2006/main">
              <a:prstDash val="solid"/>
            </a:ln>
          </spPr>
          <marker>
            <symbol val="none"/>
            <spPr>
              <a:ln xmlns:a="http://schemas.openxmlformats.org/drawingml/2006/main">
                <a:prstDash val="solid"/>
              </a:ln>
            </spPr>
          </marker>
          <cat>
            <numRef>
              <f>'Sep'!$E$6:$AI$6</f>
            </numRef>
          </cat>
          <val>
            <numRef>
              <f>'Sep'!$AC$32</f>
            </numRef>
          </val>
        </ser>
        <ser>
          <idx val="25"/>
          <order val="25"/>
          <spPr>
            <a:ln xmlns:a="http://schemas.openxmlformats.org/drawingml/2006/main">
              <a:prstDash val="solid"/>
            </a:ln>
          </spPr>
          <marker>
            <symbol val="none"/>
            <spPr>
              <a:ln xmlns:a="http://schemas.openxmlformats.org/drawingml/2006/main">
                <a:prstDash val="solid"/>
              </a:ln>
            </spPr>
          </marker>
          <cat>
            <numRef>
              <f>'Sep'!$E$6:$AI$6</f>
            </numRef>
          </cat>
          <val>
            <numRef>
              <f>'Sep'!$AD$32</f>
            </numRef>
          </val>
        </ser>
        <ser>
          <idx val="26"/>
          <order val="26"/>
          <spPr>
            <a:ln xmlns:a="http://schemas.openxmlformats.org/drawingml/2006/main">
              <a:prstDash val="solid"/>
            </a:ln>
          </spPr>
          <marker>
            <symbol val="none"/>
            <spPr>
              <a:ln xmlns:a="http://schemas.openxmlformats.org/drawingml/2006/main">
                <a:prstDash val="solid"/>
              </a:ln>
            </spPr>
          </marker>
          <cat>
            <numRef>
              <f>'Sep'!$E$6:$AI$6</f>
            </numRef>
          </cat>
          <val>
            <numRef>
              <f>'Sep'!$AE$32</f>
            </numRef>
          </val>
        </ser>
        <ser>
          <idx val="27"/>
          <order val="27"/>
          <spPr>
            <a:ln xmlns:a="http://schemas.openxmlformats.org/drawingml/2006/main">
              <a:prstDash val="solid"/>
            </a:ln>
          </spPr>
          <marker>
            <symbol val="none"/>
            <spPr>
              <a:ln xmlns:a="http://schemas.openxmlformats.org/drawingml/2006/main">
                <a:prstDash val="solid"/>
              </a:ln>
            </spPr>
          </marker>
          <cat>
            <numRef>
              <f>'Sep'!$E$6:$AI$6</f>
            </numRef>
          </cat>
          <val>
            <numRef>
              <f>'Sep'!$AF$32</f>
            </numRef>
          </val>
        </ser>
        <ser>
          <idx val="28"/>
          <order val="28"/>
          <spPr>
            <a:ln xmlns:a="http://schemas.openxmlformats.org/drawingml/2006/main">
              <a:prstDash val="solid"/>
            </a:ln>
          </spPr>
          <marker>
            <symbol val="none"/>
            <spPr>
              <a:ln xmlns:a="http://schemas.openxmlformats.org/drawingml/2006/main">
                <a:prstDash val="solid"/>
              </a:ln>
            </spPr>
          </marker>
          <cat>
            <numRef>
              <f>'Sep'!$E$6:$AI$6</f>
            </numRef>
          </cat>
          <val>
            <numRef>
              <f>'Sep'!$AG$32</f>
            </numRef>
          </val>
        </ser>
        <ser>
          <idx val="29"/>
          <order val="29"/>
          <spPr>
            <a:ln xmlns:a="http://schemas.openxmlformats.org/drawingml/2006/main">
              <a:prstDash val="solid"/>
            </a:ln>
          </spPr>
          <marker>
            <symbol val="none"/>
            <spPr>
              <a:ln xmlns:a="http://schemas.openxmlformats.org/drawingml/2006/main">
                <a:prstDash val="solid"/>
              </a:ln>
            </spPr>
          </marker>
          <cat>
            <numRef>
              <f>'Sep'!$E$6:$AI$6</f>
            </numRef>
          </cat>
          <val>
            <numRef>
              <f>'Sep'!$AH$32</f>
            </numRef>
          </val>
        </ser>
        <ser>
          <idx val="30"/>
          <order val="30"/>
          <spPr>
            <a:ln xmlns:a="http://schemas.openxmlformats.org/drawingml/2006/main">
              <a:prstDash val="solid"/>
            </a:ln>
          </spPr>
          <marker>
            <symbol val="none"/>
            <spPr>
              <a:ln xmlns:a="http://schemas.openxmlformats.org/drawingml/2006/main">
                <a:prstDash val="solid"/>
              </a:ln>
            </spPr>
          </marker>
          <cat>
            <numRef>
              <f>'Sep'!$E$6:$AI$6</f>
            </numRef>
          </cat>
          <val>
            <numRef>
              <f>'Sep'!$AI$32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Points</a:t>
                </a:r>
              </a:p>
            </rich>
          </tx>
        </title>
        <majorTickMark val="none"/>
        <minorTickMark val="none"/>
        <crossAx val="10"/>
      </valAx>
    </plotArea>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Good vs Bad (Daily Counts)</a:t>
            </a:r>
          </a:p>
        </rich>
      </tx>
    </title>
    <plotArea>
      <barChart>
        <barDir val="col"/>
        <grouping val="clustered"/>
        <ser>
          <idx val="0"/>
          <order val="0"/>
          <spPr>
            <a:ln xmlns:a="http://schemas.openxmlformats.org/drawingml/2006/main">
              <a:prstDash val="solid"/>
            </a:ln>
          </spPr>
          <cat>
            <numRef>
              <f>'Sep'!$E$6:$AI$6</f>
            </numRef>
          </cat>
          <val>
            <numRef>
              <f>'Sep'!$E$30:$AI$30</f>
            </numRef>
          </val>
        </ser>
        <ser>
          <idx val="1"/>
          <order val="1"/>
          <spPr>
            <a:ln xmlns:a="http://schemas.openxmlformats.org/drawingml/2006/main">
              <a:prstDash val="solid"/>
            </a:ln>
          </spPr>
          <cat>
            <numRef>
              <f>'Sep'!$E$6:$AI$6</f>
            </numRef>
          </cat>
          <val>
            <numRef>
              <f>'Sep'!$E$31:$AI$31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Daily Net Score</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'Oct'!$E$6:$AI$6</f>
            </numRef>
          </cat>
          <val>
            <numRef>
              <f>'Oct'!$E$32</f>
            </numRef>
          </val>
        </ser>
        <ser>
          <idx val="1"/>
          <order val="1"/>
          <spPr>
            <a:ln xmlns:a="http://schemas.openxmlformats.org/drawingml/2006/main">
              <a:prstDash val="solid"/>
            </a:ln>
          </spPr>
          <marker>
            <symbol val="none"/>
            <spPr>
              <a:ln xmlns:a="http://schemas.openxmlformats.org/drawingml/2006/main">
                <a:prstDash val="solid"/>
              </a:ln>
            </spPr>
          </marker>
          <cat>
            <numRef>
              <f>'Oct'!$E$6:$AI$6</f>
            </numRef>
          </cat>
          <val>
            <numRef>
              <f>'Oct'!$F$32</f>
            </numRef>
          </val>
        </ser>
        <ser>
          <idx val="2"/>
          <order val="2"/>
          <spPr>
            <a:ln xmlns:a="http://schemas.openxmlformats.org/drawingml/2006/main">
              <a:prstDash val="solid"/>
            </a:ln>
          </spPr>
          <marker>
            <symbol val="none"/>
            <spPr>
              <a:ln xmlns:a="http://schemas.openxmlformats.org/drawingml/2006/main">
                <a:prstDash val="solid"/>
              </a:ln>
            </spPr>
          </marker>
          <cat>
            <numRef>
              <f>'Oct'!$E$6:$AI$6</f>
            </numRef>
          </cat>
          <val>
            <numRef>
              <f>'Oct'!$G$32</f>
            </numRef>
          </val>
        </ser>
        <ser>
          <idx val="3"/>
          <order val="3"/>
          <spPr>
            <a:ln xmlns:a="http://schemas.openxmlformats.org/drawingml/2006/main">
              <a:prstDash val="solid"/>
            </a:ln>
          </spPr>
          <marker>
            <symbol val="none"/>
            <spPr>
              <a:ln xmlns:a="http://schemas.openxmlformats.org/drawingml/2006/main">
                <a:prstDash val="solid"/>
              </a:ln>
            </spPr>
          </marker>
          <cat>
            <numRef>
              <f>'Oct'!$E$6:$AI$6</f>
            </numRef>
          </cat>
          <val>
            <numRef>
              <f>'Oct'!$H$32</f>
            </numRef>
          </val>
        </ser>
        <ser>
          <idx val="4"/>
          <order val="4"/>
          <spPr>
            <a:ln xmlns:a="http://schemas.openxmlformats.org/drawingml/2006/main">
              <a:prstDash val="solid"/>
            </a:ln>
          </spPr>
          <marker>
            <symbol val="none"/>
            <spPr>
              <a:ln xmlns:a="http://schemas.openxmlformats.org/drawingml/2006/main">
                <a:prstDash val="solid"/>
              </a:ln>
            </spPr>
          </marker>
          <cat>
            <numRef>
              <f>'Oct'!$E$6:$AI$6</f>
            </numRef>
          </cat>
          <val>
            <numRef>
              <f>'Oct'!$I$32</f>
            </numRef>
          </val>
        </ser>
        <ser>
          <idx val="5"/>
          <order val="5"/>
          <spPr>
            <a:ln xmlns:a="http://schemas.openxmlformats.org/drawingml/2006/main">
              <a:prstDash val="solid"/>
            </a:ln>
          </spPr>
          <marker>
            <symbol val="none"/>
            <spPr>
              <a:ln xmlns:a="http://schemas.openxmlformats.org/drawingml/2006/main">
                <a:prstDash val="solid"/>
              </a:ln>
            </spPr>
          </marker>
          <cat>
            <numRef>
              <f>'Oct'!$E$6:$AI$6</f>
            </numRef>
          </cat>
          <val>
            <numRef>
              <f>'Oct'!$J$32</f>
            </numRef>
          </val>
        </ser>
        <ser>
          <idx val="6"/>
          <order val="6"/>
          <spPr>
            <a:ln xmlns:a="http://schemas.openxmlformats.org/drawingml/2006/main">
              <a:prstDash val="solid"/>
            </a:ln>
          </spPr>
          <marker>
            <symbol val="none"/>
            <spPr>
              <a:ln xmlns:a="http://schemas.openxmlformats.org/drawingml/2006/main">
                <a:prstDash val="solid"/>
              </a:ln>
            </spPr>
          </marker>
          <cat>
            <numRef>
              <f>'Oct'!$E$6:$AI$6</f>
            </numRef>
          </cat>
          <val>
            <numRef>
              <f>'Oct'!$K$32</f>
            </numRef>
          </val>
        </ser>
        <ser>
          <idx val="7"/>
          <order val="7"/>
          <spPr>
            <a:ln xmlns:a="http://schemas.openxmlformats.org/drawingml/2006/main">
              <a:prstDash val="solid"/>
            </a:ln>
          </spPr>
          <marker>
            <symbol val="none"/>
            <spPr>
              <a:ln xmlns:a="http://schemas.openxmlformats.org/drawingml/2006/main">
                <a:prstDash val="solid"/>
              </a:ln>
            </spPr>
          </marker>
          <cat>
            <numRef>
              <f>'Oct'!$E$6:$AI$6</f>
            </numRef>
          </cat>
          <val>
            <numRef>
              <f>'Oct'!$L$32</f>
            </numRef>
          </val>
        </ser>
        <ser>
          <idx val="8"/>
          <order val="8"/>
          <spPr>
            <a:ln xmlns:a="http://schemas.openxmlformats.org/drawingml/2006/main">
              <a:prstDash val="solid"/>
            </a:ln>
          </spPr>
          <marker>
            <symbol val="none"/>
            <spPr>
              <a:ln xmlns:a="http://schemas.openxmlformats.org/drawingml/2006/main">
                <a:prstDash val="solid"/>
              </a:ln>
            </spPr>
          </marker>
          <cat>
            <numRef>
              <f>'Oct'!$E$6:$AI$6</f>
            </numRef>
          </cat>
          <val>
            <numRef>
              <f>'Oct'!$M$32</f>
            </numRef>
          </val>
        </ser>
        <ser>
          <idx val="9"/>
          <order val="9"/>
          <spPr>
            <a:ln xmlns:a="http://schemas.openxmlformats.org/drawingml/2006/main">
              <a:prstDash val="solid"/>
            </a:ln>
          </spPr>
          <marker>
            <symbol val="none"/>
            <spPr>
              <a:ln xmlns:a="http://schemas.openxmlformats.org/drawingml/2006/main">
                <a:prstDash val="solid"/>
              </a:ln>
            </spPr>
          </marker>
          <cat>
            <numRef>
              <f>'Oct'!$E$6:$AI$6</f>
            </numRef>
          </cat>
          <val>
            <numRef>
              <f>'Oct'!$N$32</f>
            </numRef>
          </val>
        </ser>
        <ser>
          <idx val="10"/>
          <order val="10"/>
          <spPr>
            <a:ln xmlns:a="http://schemas.openxmlformats.org/drawingml/2006/main">
              <a:prstDash val="solid"/>
            </a:ln>
          </spPr>
          <marker>
            <symbol val="none"/>
            <spPr>
              <a:ln xmlns:a="http://schemas.openxmlformats.org/drawingml/2006/main">
                <a:prstDash val="solid"/>
              </a:ln>
            </spPr>
          </marker>
          <cat>
            <numRef>
              <f>'Oct'!$E$6:$AI$6</f>
            </numRef>
          </cat>
          <val>
            <numRef>
              <f>'Oct'!$O$32</f>
            </numRef>
          </val>
        </ser>
        <ser>
          <idx val="11"/>
          <order val="11"/>
          <spPr>
            <a:ln xmlns:a="http://schemas.openxmlformats.org/drawingml/2006/main">
              <a:prstDash val="solid"/>
            </a:ln>
          </spPr>
          <marker>
            <symbol val="none"/>
            <spPr>
              <a:ln xmlns:a="http://schemas.openxmlformats.org/drawingml/2006/main">
                <a:prstDash val="solid"/>
              </a:ln>
            </spPr>
          </marker>
          <cat>
            <numRef>
              <f>'Oct'!$E$6:$AI$6</f>
            </numRef>
          </cat>
          <val>
            <numRef>
              <f>'Oct'!$P$32</f>
            </numRef>
          </val>
        </ser>
        <ser>
          <idx val="12"/>
          <order val="12"/>
          <spPr>
            <a:ln xmlns:a="http://schemas.openxmlformats.org/drawingml/2006/main">
              <a:prstDash val="solid"/>
            </a:ln>
          </spPr>
          <marker>
            <symbol val="none"/>
            <spPr>
              <a:ln xmlns:a="http://schemas.openxmlformats.org/drawingml/2006/main">
                <a:prstDash val="solid"/>
              </a:ln>
            </spPr>
          </marker>
          <cat>
            <numRef>
              <f>'Oct'!$E$6:$AI$6</f>
            </numRef>
          </cat>
          <val>
            <numRef>
              <f>'Oct'!$Q$32</f>
            </numRef>
          </val>
        </ser>
        <ser>
          <idx val="13"/>
          <order val="13"/>
          <spPr>
            <a:ln xmlns:a="http://schemas.openxmlformats.org/drawingml/2006/main">
              <a:prstDash val="solid"/>
            </a:ln>
          </spPr>
          <marker>
            <symbol val="none"/>
            <spPr>
              <a:ln xmlns:a="http://schemas.openxmlformats.org/drawingml/2006/main">
                <a:prstDash val="solid"/>
              </a:ln>
            </spPr>
          </marker>
          <cat>
            <numRef>
              <f>'Oct'!$E$6:$AI$6</f>
            </numRef>
          </cat>
          <val>
            <numRef>
              <f>'Oct'!$R$32</f>
            </numRef>
          </val>
        </ser>
        <ser>
          <idx val="14"/>
          <order val="14"/>
          <spPr>
            <a:ln xmlns:a="http://schemas.openxmlformats.org/drawingml/2006/main">
              <a:prstDash val="solid"/>
            </a:ln>
          </spPr>
          <marker>
            <symbol val="none"/>
            <spPr>
              <a:ln xmlns:a="http://schemas.openxmlformats.org/drawingml/2006/main">
                <a:prstDash val="solid"/>
              </a:ln>
            </spPr>
          </marker>
          <cat>
            <numRef>
              <f>'Oct'!$E$6:$AI$6</f>
            </numRef>
          </cat>
          <val>
            <numRef>
              <f>'Oct'!$S$32</f>
            </numRef>
          </val>
        </ser>
        <ser>
          <idx val="15"/>
          <order val="15"/>
          <spPr>
            <a:ln xmlns:a="http://schemas.openxmlformats.org/drawingml/2006/main">
              <a:prstDash val="solid"/>
            </a:ln>
          </spPr>
          <marker>
            <symbol val="none"/>
            <spPr>
              <a:ln xmlns:a="http://schemas.openxmlformats.org/drawingml/2006/main">
                <a:prstDash val="solid"/>
              </a:ln>
            </spPr>
          </marker>
          <cat>
            <numRef>
              <f>'Oct'!$E$6:$AI$6</f>
            </numRef>
          </cat>
          <val>
            <numRef>
              <f>'Oct'!$T$32</f>
            </numRef>
          </val>
        </ser>
        <ser>
          <idx val="16"/>
          <order val="16"/>
          <spPr>
            <a:ln xmlns:a="http://schemas.openxmlformats.org/drawingml/2006/main">
              <a:prstDash val="solid"/>
            </a:ln>
          </spPr>
          <marker>
            <symbol val="none"/>
            <spPr>
              <a:ln xmlns:a="http://schemas.openxmlformats.org/drawingml/2006/main">
                <a:prstDash val="solid"/>
              </a:ln>
            </spPr>
          </marker>
          <cat>
            <numRef>
              <f>'Oct'!$E$6:$AI$6</f>
            </numRef>
          </cat>
          <val>
            <numRef>
              <f>'Oct'!$U$32</f>
            </numRef>
          </val>
        </ser>
        <ser>
          <idx val="17"/>
          <order val="17"/>
          <spPr>
            <a:ln xmlns:a="http://schemas.openxmlformats.org/drawingml/2006/main">
              <a:prstDash val="solid"/>
            </a:ln>
          </spPr>
          <marker>
            <symbol val="none"/>
            <spPr>
              <a:ln xmlns:a="http://schemas.openxmlformats.org/drawingml/2006/main">
                <a:prstDash val="solid"/>
              </a:ln>
            </spPr>
          </marker>
          <cat>
            <numRef>
              <f>'Oct'!$E$6:$AI$6</f>
            </numRef>
          </cat>
          <val>
            <numRef>
              <f>'Oct'!$V$32</f>
            </numRef>
          </val>
        </ser>
        <ser>
          <idx val="18"/>
          <order val="18"/>
          <spPr>
            <a:ln xmlns:a="http://schemas.openxmlformats.org/drawingml/2006/main">
              <a:prstDash val="solid"/>
            </a:ln>
          </spPr>
          <marker>
            <symbol val="none"/>
            <spPr>
              <a:ln xmlns:a="http://schemas.openxmlformats.org/drawingml/2006/main">
                <a:prstDash val="solid"/>
              </a:ln>
            </spPr>
          </marker>
          <cat>
            <numRef>
              <f>'Oct'!$E$6:$AI$6</f>
            </numRef>
          </cat>
          <val>
            <numRef>
              <f>'Oct'!$W$32</f>
            </numRef>
          </val>
        </ser>
        <ser>
          <idx val="19"/>
          <order val="19"/>
          <spPr>
            <a:ln xmlns:a="http://schemas.openxmlformats.org/drawingml/2006/main">
              <a:prstDash val="solid"/>
            </a:ln>
          </spPr>
          <marker>
            <symbol val="none"/>
            <spPr>
              <a:ln xmlns:a="http://schemas.openxmlformats.org/drawingml/2006/main">
                <a:prstDash val="solid"/>
              </a:ln>
            </spPr>
          </marker>
          <cat>
            <numRef>
              <f>'Oct'!$E$6:$AI$6</f>
            </numRef>
          </cat>
          <val>
            <numRef>
              <f>'Oct'!$X$32</f>
            </numRef>
          </val>
        </ser>
        <ser>
          <idx val="20"/>
          <order val="20"/>
          <spPr>
            <a:ln xmlns:a="http://schemas.openxmlformats.org/drawingml/2006/main">
              <a:prstDash val="solid"/>
            </a:ln>
          </spPr>
          <marker>
            <symbol val="none"/>
            <spPr>
              <a:ln xmlns:a="http://schemas.openxmlformats.org/drawingml/2006/main">
                <a:prstDash val="solid"/>
              </a:ln>
            </spPr>
          </marker>
          <cat>
            <numRef>
              <f>'Oct'!$E$6:$AI$6</f>
            </numRef>
          </cat>
          <val>
            <numRef>
              <f>'Oct'!$Y$32</f>
            </numRef>
          </val>
        </ser>
        <ser>
          <idx val="21"/>
          <order val="21"/>
          <spPr>
            <a:ln xmlns:a="http://schemas.openxmlformats.org/drawingml/2006/main">
              <a:prstDash val="solid"/>
            </a:ln>
          </spPr>
          <marker>
            <symbol val="none"/>
            <spPr>
              <a:ln xmlns:a="http://schemas.openxmlformats.org/drawingml/2006/main">
                <a:prstDash val="solid"/>
              </a:ln>
            </spPr>
          </marker>
          <cat>
            <numRef>
              <f>'Oct'!$E$6:$AI$6</f>
            </numRef>
          </cat>
          <val>
            <numRef>
              <f>'Oct'!$Z$32</f>
            </numRef>
          </val>
        </ser>
        <ser>
          <idx val="22"/>
          <order val="22"/>
          <spPr>
            <a:ln xmlns:a="http://schemas.openxmlformats.org/drawingml/2006/main">
              <a:prstDash val="solid"/>
            </a:ln>
          </spPr>
          <marker>
            <symbol val="none"/>
            <spPr>
              <a:ln xmlns:a="http://schemas.openxmlformats.org/drawingml/2006/main">
                <a:prstDash val="solid"/>
              </a:ln>
            </spPr>
          </marker>
          <cat>
            <numRef>
              <f>'Oct'!$E$6:$AI$6</f>
            </numRef>
          </cat>
          <val>
            <numRef>
              <f>'Oct'!$AA$32</f>
            </numRef>
          </val>
        </ser>
        <ser>
          <idx val="23"/>
          <order val="23"/>
          <spPr>
            <a:ln xmlns:a="http://schemas.openxmlformats.org/drawingml/2006/main">
              <a:prstDash val="solid"/>
            </a:ln>
          </spPr>
          <marker>
            <symbol val="none"/>
            <spPr>
              <a:ln xmlns:a="http://schemas.openxmlformats.org/drawingml/2006/main">
                <a:prstDash val="solid"/>
              </a:ln>
            </spPr>
          </marker>
          <cat>
            <numRef>
              <f>'Oct'!$E$6:$AI$6</f>
            </numRef>
          </cat>
          <val>
            <numRef>
              <f>'Oct'!$AB$32</f>
            </numRef>
          </val>
        </ser>
        <ser>
          <idx val="24"/>
          <order val="24"/>
          <spPr>
            <a:ln xmlns:a="http://schemas.openxmlformats.org/drawingml/2006/main">
              <a:prstDash val="solid"/>
            </a:ln>
          </spPr>
          <marker>
            <symbol val="none"/>
            <spPr>
              <a:ln xmlns:a="http://schemas.openxmlformats.org/drawingml/2006/main">
                <a:prstDash val="solid"/>
              </a:ln>
            </spPr>
          </marker>
          <cat>
            <numRef>
              <f>'Oct'!$E$6:$AI$6</f>
            </numRef>
          </cat>
          <val>
            <numRef>
              <f>'Oct'!$AC$32</f>
            </numRef>
          </val>
        </ser>
        <ser>
          <idx val="25"/>
          <order val="25"/>
          <spPr>
            <a:ln xmlns:a="http://schemas.openxmlformats.org/drawingml/2006/main">
              <a:prstDash val="solid"/>
            </a:ln>
          </spPr>
          <marker>
            <symbol val="none"/>
            <spPr>
              <a:ln xmlns:a="http://schemas.openxmlformats.org/drawingml/2006/main">
                <a:prstDash val="solid"/>
              </a:ln>
            </spPr>
          </marker>
          <cat>
            <numRef>
              <f>'Oct'!$E$6:$AI$6</f>
            </numRef>
          </cat>
          <val>
            <numRef>
              <f>'Oct'!$AD$32</f>
            </numRef>
          </val>
        </ser>
        <ser>
          <idx val="26"/>
          <order val="26"/>
          <spPr>
            <a:ln xmlns:a="http://schemas.openxmlformats.org/drawingml/2006/main">
              <a:prstDash val="solid"/>
            </a:ln>
          </spPr>
          <marker>
            <symbol val="none"/>
            <spPr>
              <a:ln xmlns:a="http://schemas.openxmlformats.org/drawingml/2006/main">
                <a:prstDash val="solid"/>
              </a:ln>
            </spPr>
          </marker>
          <cat>
            <numRef>
              <f>'Oct'!$E$6:$AI$6</f>
            </numRef>
          </cat>
          <val>
            <numRef>
              <f>'Oct'!$AE$32</f>
            </numRef>
          </val>
        </ser>
        <ser>
          <idx val="27"/>
          <order val="27"/>
          <spPr>
            <a:ln xmlns:a="http://schemas.openxmlformats.org/drawingml/2006/main">
              <a:prstDash val="solid"/>
            </a:ln>
          </spPr>
          <marker>
            <symbol val="none"/>
            <spPr>
              <a:ln xmlns:a="http://schemas.openxmlformats.org/drawingml/2006/main">
                <a:prstDash val="solid"/>
              </a:ln>
            </spPr>
          </marker>
          <cat>
            <numRef>
              <f>'Oct'!$E$6:$AI$6</f>
            </numRef>
          </cat>
          <val>
            <numRef>
              <f>'Oct'!$AF$32</f>
            </numRef>
          </val>
        </ser>
        <ser>
          <idx val="28"/>
          <order val="28"/>
          <spPr>
            <a:ln xmlns:a="http://schemas.openxmlformats.org/drawingml/2006/main">
              <a:prstDash val="solid"/>
            </a:ln>
          </spPr>
          <marker>
            <symbol val="none"/>
            <spPr>
              <a:ln xmlns:a="http://schemas.openxmlformats.org/drawingml/2006/main">
                <a:prstDash val="solid"/>
              </a:ln>
            </spPr>
          </marker>
          <cat>
            <numRef>
              <f>'Oct'!$E$6:$AI$6</f>
            </numRef>
          </cat>
          <val>
            <numRef>
              <f>'Oct'!$AG$32</f>
            </numRef>
          </val>
        </ser>
        <ser>
          <idx val="29"/>
          <order val="29"/>
          <spPr>
            <a:ln xmlns:a="http://schemas.openxmlformats.org/drawingml/2006/main">
              <a:prstDash val="solid"/>
            </a:ln>
          </spPr>
          <marker>
            <symbol val="none"/>
            <spPr>
              <a:ln xmlns:a="http://schemas.openxmlformats.org/drawingml/2006/main">
                <a:prstDash val="solid"/>
              </a:ln>
            </spPr>
          </marker>
          <cat>
            <numRef>
              <f>'Oct'!$E$6:$AI$6</f>
            </numRef>
          </cat>
          <val>
            <numRef>
              <f>'Oct'!$AH$32</f>
            </numRef>
          </val>
        </ser>
        <ser>
          <idx val="30"/>
          <order val="30"/>
          <spPr>
            <a:ln xmlns:a="http://schemas.openxmlformats.org/drawingml/2006/main">
              <a:prstDash val="solid"/>
            </a:ln>
          </spPr>
          <marker>
            <symbol val="none"/>
            <spPr>
              <a:ln xmlns:a="http://schemas.openxmlformats.org/drawingml/2006/main">
                <a:prstDash val="solid"/>
              </a:ln>
            </spPr>
          </marker>
          <cat>
            <numRef>
              <f>'Oct'!$E$6:$AI$6</f>
            </numRef>
          </cat>
          <val>
            <numRef>
              <f>'Oct'!$AI$32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Points</a:t>
                </a:r>
              </a:p>
            </rich>
          </tx>
        </title>
        <majorTickMark val="none"/>
        <minorTickMark val="none"/>
        <crossAx val="10"/>
      </valAx>
    </plotArea>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Good vs Bad (Daily Counts)</a:t>
            </a:r>
          </a:p>
        </rich>
      </tx>
    </title>
    <plotArea>
      <barChart>
        <barDir val="col"/>
        <grouping val="clustered"/>
        <ser>
          <idx val="0"/>
          <order val="0"/>
          <spPr>
            <a:ln xmlns:a="http://schemas.openxmlformats.org/drawingml/2006/main">
              <a:prstDash val="solid"/>
            </a:ln>
          </spPr>
          <cat>
            <numRef>
              <f>'Oct'!$E$6:$AI$6</f>
            </numRef>
          </cat>
          <val>
            <numRef>
              <f>'Oct'!$E$30:$AI$30</f>
            </numRef>
          </val>
        </ser>
        <ser>
          <idx val="1"/>
          <order val="1"/>
          <spPr>
            <a:ln xmlns:a="http://schemas.openxmlformats.org/drawingml/2006/main">
              <a:prstDash val="solid"/>
            </a:ln>
          </spPr>
          <cat>
            <numRef>
              <f>'Oct'!$E$6:$AI$6</f>
            </numRef>
          </cat>
          <val>
            <numRef>
              <f>'Oct'!$E$31:$AI$31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Daily Net Score</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'Nov'!$E$6:$AI$6</f>
            </numRef>
          </cat>
          <val>
            <numRef>
              <f>'Nov'!$E$32</f>
            </numRef>
          </val>
        </ser>
        <ser>
          <idx val="1"/>
          <order val="1"/>
          <spPr>
            <a:ln xmlns:a="http://schemas.openxmlformats.org/drawingml/2006/main">
              <a:prstDash val="solid"/>
            </a:ln>
          </spPr>
          <marker>
            <symbol val="none"/>
            <spPr>
              <a:ln xmlns:a="http://schemas.openxmlformats.org/drawingml/2006/main">
                <a:prstDash val="solid"/>
              </a:ln>
            </spPr>
          </marker>
          <cat>
            <numRef>
              <f>'Nov'!$E$6:$AI$6</f>
            </numRef>
          </cat>
          <val>
            <numRef>
              <f>'Nov'!$F$32</f>
            </numRef>
          </val>
        </ser>
        <ser>
          <idx val="2"/>
          <order val="2"/>
          <spPr>
            <a:ln xmlns:a="http://schemas.openxmlformats.org/drawingml/2006/main">
              <a:prstDash val="solid"/>
            </a:ln>
          </spPr>
          <marker>
            <symbol val="none"/>
            <spPr>
              <a:ln xmlns:a="http://schemas.openxmlformats.org/drawingml/2006/main">
                <a:prstDash val="solid"/>
              </a:ln>
            </spPr>
          </marker>
          <cat>
            <numRef>
              <f>'Nov'!$E$6:$AI$6</f>
            </numRef>
          </cat>
          <val>
            <numRef>
              <f>'Nov'!$G$32</f>
            </numRef>
          </val>
        </ser>
        <ser>
          <idx val="3"/>
          <order val="3"/>
          <spPr>
            <a:ln xmlns:a="http://schemas.openxmlformats.org/drawingml/2006/main">
              <a:prstDash val="solid"/>
            </a:ln>
          </spPr>
          <marker>
            <symbol val="none"/>
            <spPr>
              <a:ln xmlns:a="http://schemas.openxmlformats.org/drawingml/2006/main">
                <a:prstDash val="solid"/>
              </a:ln>
            </spPr>
          </marker>
          <cat>
            <numRef>
              <f>'Nov'!$E$6:$AI$6</f>
            </numRef>
          </cat>
          <val>
            <numRef>
              <f>'Nov'!$H$32</f>
            </numRef>
          </val>
        </ser>
        <ser>
          <idx val="4"/>
          <order val="4"/>
          <spPr>
            <a:ln xmlns:a="http://schemas.openxmlformats.org/drawingml/2006/main">
              <a:prstDash val="solid"/>
            </a:ln>
          </spPr>
          <marker>
            <symbol val="none"/>
            <spPr>
              <a:ln xmlns:a="http://schemas.openxmlformats.org/drawingml/2006/main">
                <a:prstDash val="solid"/>
              </a:ln>
            </spPr>
          </marker>
          <cat>
            <numRef>
              <f>'Nov'!$E$6:$AI$6</f>
            </numRef>
          </cat>
          <val>
            <numRef>
              <f>'Nov'!$I$32</f>
            </numRef>
          </val>
        </ser>
        <ser>
          <idx val="5"/>
          <order val="5"/>
          <spPr>
            <a:ln xmlns:a="http://schemas.openxmlformats.org/drawingml/2006/main">
              <a:prstDash val="solid"/>
            </a:ln>
          </spPr>
          <marker>
            <symbol val="none"/>
            <spPr>
              <a:ln xmlns:a="http://schemas.openxmlformats.org/drawingml/2006/main">
                <a:prstDash val="solid"/>
              </a:ln>
            </spPr>
          </marker>
          <cat>
            <numRef>
              <f>'Nov'!$E$6:$AI$6</f>
            </numRef>
          </cat>
          <val>
            <numRef>
              <f>'Nov'!$J$32</f>
            </numRef>
          </val>
        </ser>
        <ser>
          <idx val="6"/>
          <order val="6"/>
          <spPr>
            <a:ln xmlns:a="http://schemas.openxmlformats.org/drawingml/2006/main">
              <a:prstDash val="solid"/>
            </a:ln>
          </spPr>
          <marker>
            <symbol val="none"/>
            <spPr>
              <a:ln xmlns:a="http://schemas.openxmlformats.org/drawingml/2006/main">
                <a:prstDash val="solid"/>
              </a:ln>
            </spPr>
          </marker>
          <cat>
            <numRef>
              <f>'Nov'!$E$6:$AI$6</f>
            </numRef>
          </cat>
          <val>
            <numRef>
              <f>'Nov'!$K$32</f>
            </numRef>
          </val>
        </ser>
        <ser>
          <idx val="7"/>
          <order val="7"/>
          <spPr>
            <a:ln xmlns:a="http://schemas.openxmlformats.org/drawingml/2006/main">
              <a:prstDash val="solid"/>
            </a:ln>
          </spPr>
          <marker>
            <symbol val="none"/>
            <spPr>
              <a:ln xmlns:a="http://schemas.openxmlformats.org/drawingml/2006/main">
                <a:prstDash val="solid"/>
              </a:ln>
            </spPr>
          </marker>
          <cat>
            <numRef>
              <f>'Nov'!$E$6:$AI$6</f>
            </numRef>
          </cat>
          <val>
            <numRef>
              <f>'Nov'!$L$32</f>
            </numRef>
          </val>
        </ser>
        <ser>
          <idx val="8"/>
          <order val="8"/>
          <spPr>
            <a:ln xmlns:a="http://schemas.openxmlformats.org/drawingml/2006/main">
              <a:prstDash val="solid"/>
            </a:ln>
          </spPr>
          <marker>
            <symbol val="none"/>
            <spPr>
              <a:ln xmlns:a="http://schemas.openxmlformats.org/drawingml/2006/main">
                <a:prstDash val="solid"/>
              </a:ln>
            </spPr>
          </marker>
          <cat>
            <numRef>
              <f>'Nov'!$E$6:$AI$6</f>
            </numRef>
          </cat>
          <val>
            <numRef>
              <f>'Nov'!$M$32</f>
            </numRef>
          </val>
        </ser>
        <ser>
          <idx val="9"/>
          <order val="9"/>
          <spPr>
            <a:ln xmlns:a="http://schemas.openxmlformats.org/drawingml/2006/main">
              <a:prstDash val="solid"/>
            </a:ln>
          </spPr>
          <marker>
            <symbol val="none"/>
            <spPr>
              <a:ln xmlns:a="http://schemas.openxmlformats.org/drawingml/2006/main">
                <a:prstDash val="solid"/>
              </a:ln>
            </spPr>
          </marker>
          <cat>
            <numRef>
              <f>'Nov'!$E$6:$AI$6</f>
            </numRef>
          </cat>
          <val>
            <numRef>
              <f>'Nov'!$N$32</f>
            </numRef>
          </val>
        </ser>
        <ser>
          <idx val="10"/>
          <order val="10"/>
          <spPr>
            <a:ln xmlns:a="http://schemas.openxmlformats.org/drawingml/2006/main">
              <a:prstDash val="solid"/>
            </a:ln>
          </spPr>
          <marker>
            <symbol val="none"/>
            <spPr>
              <a:ln xmlns:a="http://schemas.openxmlformats.org/drawingml/2006/main">
                <a:prstDash val="solid"/>
              </a:ln>
            </spPr>
          </marker>
          <cat>
            <numRef>
              <f>'Nov'!$E$6:$AI$6</f>
            </numRef>
          </cat>
          <val>
            <numRef>
              <f>'Nov'!$O$32</f>
            </numRef>
          </val>
        </ser>
        <ser>
          <idx val="11"/>
          <order val="11"/>
          <spPr>
            <a:ln xmlns:a="http://schemas.openxmlformats.org/drawingml/2006/main">
              <a:prstDash val="solid"/>
            </a:ln>
          </spPr>
          <marker>
            <symbol val="none"/>
            <spPr>
              <a:ln xmlns:a="http://schemas.openxmlformats.org/drawingml/2006/main">
                <a:prstDash val="solid"/>
              </a:ln>
            </spPr>
          </marker>
          <cat>
            <numRef>
              <f>'Nov'!$E$6:$AI$6</f>
            </numRef>
          </cat>
          <val>
            <numRef>
              <f>'Nov'!$P$32</f>
            </numRef>
          </val>
        </ser>
        <ser>
          <idx val="12"/>
          <order val="12"/>
          <spPr>
            <a:ln xmlns:a="http://schemas.openxmlformats.org/drawingml/2006/main">
              <a:prstDash val="solid"/>
            </a:ln>
          </spPr>
          <marker>
            <symbol val="none"/>
            <spPr>
              <a:ln xmlns:a="http://schemas.openxmlformats.org/drawingml/2006/main">
                <a:prstDash val="solid"/>
              </a:ln>
            </spPr>
          </marker>
          <cat>
            <numRef>
              <f>'Nov'!$E$6:$AI$6</f>
            </numRef>
          </cat>
          <val>
            <numRef>
              <f>'Nov'!$Q$32</f>
            </numRef>
          </val>
        </ser>
        <ser>
          <idx val="13"/>
          <order val="13"/>
          <spPr>
            <a:ln xmlns:a="http://schemas.openxmlformats.org/drawingml/2006/main">
              <a:prstDash val="solid"/>
            </a:ln>
          </spPr>
          <marker>
            <symbol val="none"/>
            <spPr>
              <a:ln xmlns:a="http://schemas.openxmlformats.org/drawingml/2006/main">
                <a:prstDash val="solid"/>
              </a:ln>
            </spPr>
          </marker>
          <cat>
            <numRef>
              <f>'Nov'!$E$6:$AI$6</f>
            </numRef>
          </cat>
          <val>
            <numRef>
              <f>'Nov'!$R$32</f>
            </numRef>
          </val>
        </ser>
        <ser>
          <idx val="14"/>
          <order val="14"/>
          <spPr>
            <a:ln xmlns:a="http://schemas.openxmlformats.org/drawingml/2006/main">
              <a:prstDash val="solid"/>
            </a:ln>
          </spPr>
          <marker>
            <symbol val="none"/>
            <spPr>
              <a:ln xmlns:a="http://schemas.openxmlformats.org/drawingml/2006/main">
                <a:prstDash val="solid"/>
              </a:ln>
            </spPr>
          </marker>
          <cat>
            <numRef>
              <f>'Nov'!$E$6:$AI$6</f>
            </numRef>
          </cat>
          <val>
            <numRef>
              <f>'Nov'!$S$32</f>
            </numRef>
          </val>
        </ser>
        <ser>
          <idx val="15"/>
          <order val="15"/>
          <spPr>
            <a:ln xmlns:a="http://schemas.openxmlformats.org/drawingml/2006/main">
              <a:prstDash val="solid"/>
            </a:ln>
          </spPr>
          <marker>
            <symbol val="none"/>
            <spPr>
              <a:ln xmlns:a="http://schemas.openxmlformats.org/drawingml/2006/main">
                <a:prstDash val="solid"/>
              </a:ln>
            </spPr>
          </marker>
          <cat>
            <numRef>
              <f>'Nov'!$E$6:$AI$6</f>
            </numRef>
          </cat>
          <val>
            <numRef>
              <f>'Nov'!$T$32</f>
            </numRef>
          </val>
        </ser>
        <ser>
          <idx val="16"/>
          <order val="16"/>
          <spPr>
            <a:ln xmlns:a="http://schemas.openxmlformats.org/drawingml/2006/main">
              <a:prstDash val="solid"/>
            </a:ln>
          </spPr>
          <marker>
            <symbol val="none"/>
            <spPr>
              <a:ln xmlns:a="http://schemas.openxmlformats.org/drawingml/2006/main">
                <a:prstDash val="solid"/>
              </a:ln>
            </spPr>
          </marker>
          <cat>
            <numRef>
              <f>'Nov'!$E$6:$AI$6</f>
            </numRef>
          </cat>
          <val>
            <numRef>
              <f>'Nov'!$U$32</f>
            </numRef>
          </val>
        </ser>
        <ser>
          <idx val="17"/>
          <order val="17"/>
          <spPr>
            <a:ln xmlns:a="http://schemas.openxmlformats.org/drawingml/2006/main">
              <a:prstDash val="solid"/>
            </a:ln>
          </spPr>
          <marker>
            <symbol val="none"/>
            <spPr>
              <a:ln xmlns:a="http://schemas.openxmlformats.org/drawingml/2006/main">
                <a:prstDash val="solid"/>
              </a:ln>
            </spPr>
          </marker>
          <cat>
            <numRef>
              <f>'Nov'!$E$6:$AI$6</f>
            </numRef>
          </cat>
          <val>
            <numRef>
              <f>'Nov'!$V$32</f>
            </numRef>
          </val>
        </ser>
        <ser>
          <idx val="18"/>
          <order val="18"/>
          <spPr>
            <a:ln xmlns:a="http://schemas.openxmlformats.org/drawingml/2006/main">
              <a:prstDash val="solid"/>
            </a:ln>
          </spPr>
          <marker>
            <symbol val="none"/>
            <spPr>
              <a:ln xmlns:a="http://schemas.openxmlformats.org/drawingml/2006/main">
                <a:prstDash val="solid"/>
              </a:ln>
            </spPr>
          </marker>
          <cat>
            <numRef>
              <f>'Nov'!$E$6:$AI$6</f>
            </numRef>
          </cat>
          <val>
            <numRef>
              <f>'Nov'!$W$32</f>
            </numRef>
          </val>
        </ser>
        <ser>
          <idx val="19"/>
          <order val="19"/>
          <spPr>
            <a:ln xmlns:a="http://schemas.openxmlformats.org/drawingml/2006/main">
              <a:prstDash val="solid"/>
            </a:ln>
          </spPr>
          <marker>
            <symbol val="none"/>
            <spPr>
              <a:ln xmlns:a="http://schemas.openxmlformats.org/drawingml/2006/main">
                <a:prstDash val="solid"/>
              </a:ln>
            </spPr>
          </marker>
          <cat>
            <numRef>
              <f>'Nov'!$E$6:$AI$6</f>
            </numRef>
          </cat>
          <val>
            <numRef>
              <f>'Nov'!$X$32</f>
            </numRef>
          </val>
        </ser>
        <ser>
          <idx val="20"/>
          <order val="20"/>
          <spPr>
            <a:ln xmlns:a="http://schemas.openxmlformats.org/drawingml/2006/main">
              <a:prstDash val="solid"/>
            </a:ln>
          </spPr>
          <marker>
            <symbol val="none"/>
            <spPr>
              <a:ln xmlns:a="http://schemas.openxmlformats.org/drawingml/2006/main">
                <a:prstDash val="solid"/>
              </a:ln>
            </spPr>
          </marker>
          <cat>
            <numRef>
              <f>'Nov'!$E$6:$AI$6</f>
            </numRef>
          </cat>
          <val>
            <numRef>
              <f>'Nov'!$Y$32</f>
            </numRef>
          </val>
        </ser>
        <ser>
          <idx val="21"/>
          <order val="21"/>
          <spPr>
            <a:ln xmlns:a="http://schemas.openxmlformats.org/drawingml/2006/main">
              <a:prstDash val="solid"/>
            </a:ln>
          </spPr>
          <marker>
            <symbol val="none"/>
            <spPr>
              <a:ln xmlns:a="http://schemas.openxmlformats.org/drawingml/2006/main">
                <a:prstDash val="solid"/>
              </a:ln>
            </spPr>
          </marker>
          <cat>
            <numRef>
              <f>'Nov'!$E$6:$AI$6</f>
            </numRef>
          </cat>
          <val>
            <numRef>
              <f>'Nov'!$Z$32</f>
            </numRef>
          </val>
        </ser>
        <ser>
          <idx val="22"/>
          <order val="22"/>
          <spPr>
            <a:ln xmlns:a="http://schemas.openxmlformats.org/drawingml/2006/main">
              <a:prstDash val="solid"/>
            </a:ln>
          </spPr>
          <marker>
            <symbol val="none"/>
            <spPr>
              <a:ln xmlns:a="http://schemas.openxmlformats.org/drawingml/2006/main">
                <a:prstDash val="solid"/>
              </a:ln>
            </spPr>
          </marker>
          <cat>
            <numRef>
              <f>'Nov'!$E$6:$AI$6</f>
            </numRef>
          </cat>
          <val>
            <numRef>
              <f>'Nov'!$AA$32</f>
            </numRef>
          </val>
        </ser>
        <ser>
          <idx val="23"/>
          <order val="23"/>
          <spPr>
            <a:ln xmlns:a="http://schemas.openxmlformats.org/drawingml/2006/main">
              <a:prstDash val="solid"/>
            </a:ln>
          </spPr>
          <marker>
            <symbol val="none"/>
            <spPr>
              <a:ln xmlns:a="http://schemas.openxmlformats.org/drawingml/2006/main">
                <a:prstDash val="solid"/>
              </a:ln>
            </spPr>
          </marker>
          <cat>
            <numRef>
              <f>'Nov'!$E$6:$AI$6</f>
            </numRef>
          </cat>
          <val>
            <numRef>
              <f>'Nov'!$AB$32</f>
            </numRef>
          </val>
        </ser>
        <ser>
          <idx val="24"/>
          <order val="24"/>
          <spPr>
            <a:ln xmlns:a="http://schemas.openxmlformats.org/drawingml/2006/main">
              <a:prstDash val="solid"/>
            </a:ln>
          </spPr>
          <marker>
            <symbol val="none"/>
            <spPr>
              <a:ln xmlns:a="http://schemas.openxmlformats.org/drawingml/2006/main">
                <a:prstDash val="solid"/>
              </a:ln>
            </spPr>
          </marker>
          <cat>
            <numRef>
              <f>'Nov'!$E$6:$AI$6</f>
            </numRef>
          </cat>
          <val>
            <numRef>
              <f>'Nov'!$AC$32</f>
            </numRef>
          </val>
        </ser>
        <ser>
          <idx val="25"/>
          <order val="25"/>
          <spPr>
            <a:ln xmlns:a="http://schemas.openxmlformats.org/drawingml/2006/main">
              <a:prstDash val="solid"/>
            </a:ln>
          </spPr>
          <marker>
            <symbol val="none"/>
            <spPr>
              <a:ln xmlns:a="http://schemas.openxmlformats.org/drawingml/2006/main">
                <a:prstDash val="solid"/>
              </a:ln>
            </spPr>
          </marker>
          <cat>
            <numRef>
              <f>'Nov'!$E$6:$AI$6</f>
            </numRef>
          </cat>
          <val>
            <numRef>
              <f>'Nov'!$AD$32</f>
            </numRef>
          </val>
        </ser>
        <ser>
          <idx val="26"/>
          <order val="26"/>
          <spPr>
            <a:ln xmlns:a="http://schemas.openxmlformats.org/drawingml/2006/main">
              <a:prstDash val="solid"/>
            </a:ln>
          </spPr>
          <marker>
            <symbol val="none"/>
            <spPr>
              <a:ln xmlns:a="http://schemas.openxmlformats.org/drawingml/2006/main">
                <a:prstDash val="solid"/>
              </a:ln>
            </spPr>
          </marker>
          <cat>
            <numRef>
              <f>'Nov'!$E$6:$AI$6</f>
            </numRef>
          </cat>
          <val>
            <numRef>
              <f>'Nov'!$AE$32</f>
            </numRef>
          </val>
        </ser>
        <ser>
          <idx val="27"/>
          <order val="27"/>
          <spPr>
            <a:ln xmlns:a="http://schemas.openxmlformats.org/drawingml/2006/main">
              <a:prstDash val="solid"/>
            </a:ln>
          </spPr>
          <marker>
            <symbol val="none"/>
            <spPr>
              <a:ln xmlns:a="http://schemas.openxmlformats.org/drawingml/2006/main">
                <a:prstDash val="solid"/>
              </a:ln>
            </spPr>
          </marker>
          <cat>
            <numRef>
              <f>'Nov'!$E$6:$AI$6</f>
            </numRef>
          </cat>
          <val>
            <numRef>
              <f>'Nov'!$AF$32</f>
            </numRef>
          </val>
        </ser>
        <ser>
          <idx val="28"/>
          <order val="28"/>
          <spPr>
            <a:ln xmlns:a="http://schemas.openxmlformats.org/drawingml/2006/main">
              <a:prstDash val="solid"/>
            </a:ln>
          </spPr>
          <marker>
            <symbol val="none"/>
            <spPr>
              <a:ln xmlns:a="http://schemas.openxmlformats.org/drawingml/2006/main">
                <a:prstDash val="solid"/>
              </a:ln>
            </spPr>
          </marker>
          <cat>
            <numRef>
              <f>'Nov'!$E$6:$AI$6</f>
            </numRef>
          </cat>
          <val>
            <numRef>
              <f>'Nov'!$AG$32</f>
            </numRef>
          </val>
        </ser>
        <ser>
          <idx val="29"/>
          <order val="29"/>
          <spPr>
            <a:ln xmlns:a="http://schemas.openxmlformats.org/drawingml/2006/main">
              <a:prstDash val="solid"/>
            </a:ln>
          </spPr>
          <marker>
            <symbol val="none"/>
            <spPr>
              <a:ln xmlns:a="http://schemas.openxmlformats.org/drawingml/2006/main">
                <a:prstDash val="solid"/>
              </a:ln>
            </spPr>
          </marker>
          <cat>
            <numRef>
              <f>'Nov'!$E$6:$AI$6</f>
            </numRef>
          </cat>
          <val>
            <numRef>
              <f>'Nov'!$AH$32</f>
            </numRef>
          </val>
        </ser>
        <ser>
          <idx val="30"/>
          <order val="30"/>
          <spPr>
            <a:ln xmlns:a="http://schemas.openxmlformats.org/drawingml/2006/main">
              <a:prstDash val="solid"/>
            </a:ln>
          </spPr>
          <marker>
            <symbol val="none"/>
            <spPr>
              <a:ln xmlns:a="http://schemas.openxmlformats.org/drawingml/2006/main">
                <a:prstDash val="solid"/>
              </a:ln>
            </spPr>
          </marker>
          <cat>
            <numRef>
              <f>'Nov'!$E$6:$AI$6</f>
            </numRef>
          </cat>
          <val>
            <numRef>
              <f>'Nov'!$AI$32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Points</a:t>
                </a:r>
              </a:p>
            </rich>
          </tx>
        </title>
        <majorTickMark val="none"/>
        <minorTickMark val="none"/>
        <crossAx val="10"/>
      </valAx>
    </plotArea>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Good vs Bad (Daily Counts)</a:t>
            </a:r>
          </a:p>
        </rich>
      </tx>
    </title>
    <plotArea>
      <barChart>
        <barDir val="col"/>
        <grouping val="clustered"/>
        <ser>
          <idx val="0"/>
          <order val="0"/>
          <spPr>
            <a:ln xmlns:a="http://schemas.openxmlformats.org/drawingml/2006/main">
              <a:prstDash val="solid"/>
            </a:ln>
          </spPr>
          <cat>
            <numRef>
              <f>'Nov'!$E$6:$AI$6</f>
            </numRef>
          </cat>
          <val>
            <numRef>
              <f>'Nov'!$E$30:$AI$30</f>
            </numRef>
          </val>
        </ser>
        <ser>
          <idx val="1"/>
          <order val="1"/>
          <spPr>
            <a:ln xmlns:a="http://schemas.openxmlformats.org/drawingml/2006/main">
              <a:prstDash val="solid"/>
            </a:ln>
          </spPr>
          <cat>
            <numRef>
              <f>'Nov'!$E$6:$AI$6</f>
            </numRef>
          </cat>
          <val>
            <numRef>
              <f>'Nov'!$E$31:$AI$31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Daily Net Score</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'Dec'!$E$6:$AI$6</f>
            </numRef>
          </cat>
          <val>
            <numRef>
              <f>'Dec'!$E$32</f>
            </numRef>
          </val>
        </ser>
        <ser>
          <idx val="1"/>
          <order val="1"/>
          <spPr>
            <a:ln xmlns:a="http://schemas.openxmlformats.org/drawingml/2006/main">
              <a:prstDash val="solid"/>
            </a:ln>
          </spPr>
          <marker>
            <symbol val="none"/>
            <spPr>
              <a:ln xmlns:a="http://schemas.openxmlformats.org/drawingml/2006/main">
                <a:prstDash val="solid"/>
              </a:ln>
            </spPr>
          </marker>
          <cat>
            <numRef>
              <f>'Dec'!$E$6:$AI$6</f>
            </numRef>
          </cat>
          <val>
            <numRef>
              <f>'Dec'!$F$32</f>
            </numRef>
          </val>
        </ser>
        <ser>
          <idx val="2"/>
          <order val="2"/>
          <spPr>
            <a:ln xmlns:a="http://schemas.openxmlformats.org/drawingml/2006/main">
              <a:prstDash val="solid"/>
            </a:ln>
          </spPr>
          <marker>
            <symbol val="none"/>
            <spPr>
              <a:ln xmlns:a="http://schemas.openxmlformats.org/drawingml/2006/main">
                <a:prstDash val="solid"/>
              </a:ln>
            </spPr>
          </marker>
          <cat>
            <numRef>
              <f>'Dec'!$E$6:$AI$6</f>
            </numRef>
          </cat>
          <val>
            <numRef>
              <f>'Dec'!$G$32</f>
            </numRef>
          </val>
        </ser>
        <ser>
          <idx val="3"/>
          <order val="3"/>
          <spPr>
            <a:ln xmlns:a="http://schemas.openxmlformats.org/drawingml/2006/main">
              <a:prstDash val="solid"/>
            </a:ln>
          </spPr>
          <marker>
            <symbol val="none"/>
            <spPr>
              <a:ln xmlns:a="http://schemas.openxmlformats.org/drawingml/2006/main">
                <a:prstDash val="solid"/>
              </a:ln>
            </spPr>
          </marker>
          <cat>
            <numRef>
              <f>'Dec'!$E$6:$AI$6</f>
            </numRef>
          </cat>
          <val>
            <numRef>
              <f>'Dec'!$H$32</f>
            </numRef>
          </val>
        </ser>
        <ser>
          <idx val="4"/>
          <order val="4"/>
          <spPr>
            <a:ln xmlns:a="http://schemas.openxmlformats.org/drawingml/2006/main">
              <a:prstDash val="solid"/>
            </a:ln>
          </spPr>
          <marker>
            <symbol val="none"/>
            <spPr>
              <a:ln xmlns:a="http://schemas.openxmlformats.org/drawingml/2006/main">
                <a:prstDash val="solid"/>
              </a:ln>
            </spPr>
          </marker>
          <cat>
            <numRef>
              <f>'Dec'!$E$6:$AI$6</f>
            </numRef>
          </cat>
          <val>
            <numRef>
              <f>'Dec'!$I$32</f>
            </numRef>
          </val>
        </ser>
        <ser>
          <idx val="5"/>
          <order val="5"/>
          <spPr>
            <a:ln xmlns:a="http://schemas.openxmlformats.org/drawingml/2006/main">
              <a:prstDash val="solid"/>
            </a:ln>
          </spPr>
          <marker>
            <symbol val="none"/>
            <spPr>
              <a:ln xmlns:a="http://schemas.openxmlformats.org/drawingml/2006/main">
                <a:prstDash val="solid"/>
              </a:ln>
            </spPr>
          </marker>
          <cat>
            <numRef>
              <f>'Dec'!$E$6:$AI$6</f>
            </numRef>
          </cat>
          <val>
            <numRef>
              <f>'Dec'!$J$32</f>
            </numRef>
          </val>
        </ser>
        <ser>
          <idx val="6"/>
          <order val="6"/>
          <spPr>
            <a:ln xmlns:a="http://schemas.openxmlformats.org/drawingml/2006/main">
              <a:prstDash val="solid"/>
            </a:ln>
          </spPr>
          <marker>
            <symbol val="none"/>
            <spPr>
              <a:ln xmlns:a="http://schemas.openxmlformats.org/drawingml/2006/main">
                <a:prstDash val="solid"/>
              </a:ln>
            </spPr>
          </marker>
          <cat>
            <numRef>
              <f>'Dec'!$E$6:$AI$6</f>
            </numRef>
          </cat>
          <val>
            <numRef>
              <f>'Dec'!$K$32</f>
            </numRef>
          </val>
        </ser>
        <ser>
          <idx val="7"/>
          <order val="7"/>
          <spPr>
            <a:ln xmlns:a="http://schemas.openxmlformats.org/drawingml/2006/main">
              <a:prstDash val="solid"/>
            </a:ln>
          </spPr>
          <marker>
            <symbol val="none"/>
            <spPr>
              <a:ln xmlns:a="http://schemas.openxmlformats.org/drawingml/2006/main">
                <a:prstDash val="solid"/>
              </a:ln>
            </spPr>
          </marker>
          <cat>
            <numRef>
              <f>'Dec'!$E$6:$AI$6</f>
            </numRef>
          </cat>
          <val>
            <numRef>
              <f>'Dec'!$L$32</f>
            </numRef>
          </val>
        </ser>
        <ser>
          <idx val="8"/>
          <order val="8"/>
          <spPr>
            <a:ln xmlns:a="http://schemas.openxmlformats.org/drawingml/2006/main">
              <a:prstDash val="solid"/>
            </a:ln>
          </spPr>
          <marker>
            <symbol val="none"/>
            <spPr>
              <a:ln xmlns:a="http://schemas.openxmlformats.org/drawingml/2006/main">
                <a:prstDash val="solid"/>
              </a:ln>
            </spPr>
          </marker>
          <cat>
            <numRef>
              <f>'Dec'!$E$6:$AI$6</f>
            </numRef>
          </cat>
          <val>
            <numRef>
              <f>'Dec'!$M$32</f>
            </numRef>
          </val>
        </ser>
        <ser>
          <idx val="9"/>
          <order val="9"/>
          <spPr>
            <a:ln xmlns:a="http://schemas.openxmlformats.org/drawingml/2006/main">
              <a:prstDash val="solid"/>
            </a:ln>
          </spPr>
          <marker>
            <symbol val="none"/>
            <spPr>
              <a:ln xmlns:a="http://schemas.openxmlformats.org/drawingml/2006/main">
                <a:prstDash val="solid"/>
              </a:ln>
            </spPr>
          </marker>
          <cat>
            <numRef>
              <f>'Dec'!$E$6:$AI$6</f>
            </numRef>
          </cat>
          <val>
            <numRef>
              <f>'Dec'!$N$32</f>
            </numRef>
          </val>
        </ser>
        <ser>
          <idx val="10"/>
          <order val="10"/>
          <spPr>
            <a:ln xmlns:a="http://schemas.openxmlformats.org/drawingml/2006/main">
              <a:prstDash val="solid"/>
            </a:ln>
          </spPr>
          <marker>
            <symbol val="none"/>
            <spPr>
              <a:ln xmlns:a="http://schemas.openxmlformats.org/drawingml/2006/main">
                <a:prstDash val="solid"/>
              </a:ln>
            </spPr>
          </marker>
          <cat>
            <numRef>
              <f>'Dec'!$E$6:$AI$6</f>
            </numRef>
          </cat>
          <val>
            <numRef>
              <f>'Dec'!$O$32</f>
            </numRef>
          </val>
        </ser>
        <ser>
          <idx val="11"/>
          <order val="11"/>
          <spPr>
            <a:ln xmlns:a="http://schemas.openxmlformats.org/drawingml/2006/main">
              <a:prstDash val="solid"/>
            </a:ln>
          </spPr>
          <marker>
            <symbol val="none"/>
            <spPr>
              <a:ln xmlns:a="http://schemas.openxmlformats.org/drawingml/2006/main">
                <a:prstDash val="solid"/>
              </a:ln>
            </spPr>
          </marker>
          <cat>
            <numRef>
              <f>'Dec'!$E$6:$AI$6</f>
            </numRef>
          </cat>
          <val>
            <numRef>
              <f>'Dec'!$P$32</f>
            </numRef>
          </val>
        </ser>
        <ser>
          <idx val="12"/>
          <order val="12"/>
          <spPr>
            <a:ln xmlns:a="http://schemas.openxmlformats.org/drawingml/2006/main">
              <a:prstDash val="solid"/>
            </a:ln>
          </spPr>
          <marker>
            <symbol val="none"/>
            <spPr>
              <a:ln xmlns:a="http://schemas.openxmlformats.org/drawingml/2006/main">
                <a:prstDash val="solid"/>
              </a:ln>
            </spPr>
          </marker>
          <cat>
            <numRef>
              <f>'Dec'!$E$6:$AI$6</f>
            </numRef>
          </cat>
          <val>
            <numRef>
              <f>'Dec'!$Q$32</f>
            </numRef>
          </val>
        </ser>
        <ser>
          <idx val="13"/>
          <order val="13"/>
          <spPr>
            <a:ln xmlns:a="http://schemas.openxmlformats.org/drawingml/2006/main">
              <a:prstDash val="solid"/>
            </a:ln>
          </spPr>
          <marker>
            <symbol val="none"/>
            <spPr>
              <a:ln xmlns:a="http://schemas.openxmlformats.org/drawingml/2006/main">
                <a:prstDash val="solid"/>
              </a:ln>
            </spPr>
          </marker>
          <cat>
            <numRef>
              <f>'Dec'!$E$6:$AI$6</f>
            </numRef>
          </cat>
          <val>
            <numRef>
              <f>'Dec'!$R$32</f>
            </numRef>
          </val>
        </ser>
        <ser>
          <idx val="14"/>
          <order val="14"/>
          <spPr>
            <a:ln xmlns:a="http://schemas.openxmlformats.org/drawingml/2006/main">
              <a:prstDash val="solid"/>
            </a:ln>
          </spPr>
          <marker>
            <symbol val="none"/>
            <spPr>
              <a:ln xmlns:a="http://schemas.openxmlformats.org/drawingml/2006/main">
                <a:prstDash val="solid"/>
              </a:ln>
            </spPr>
          </marker>
          <cat>
            <numRef>
              <f>'Dec'!$E$6:$AI$6</f>
            </numRef>
          </cat>
          <val>
            <numRef>
              <f>'Dec'!$S$32</f>
            </numRef>
          </val>
        </ser>
        <ser>
          <idx val="15"/>
          <order val="15"/>
          <spPr>
            <a:ln xmlns:a="http://schemas.openxmlformats.org/drawingml/2006/main">
              <a:prstDash val="solid"/>
            </a:ln>
          </spPr>
          <marker>
            <symbol val="none"/>
            <spPr>
              <a:ln xmlns:a="http://schemas.openxmlformats.org/drawingml/2006/main">
                <a:prstDash val="solid"/>
              </a:ln>
            </spPr>
          </marker>
          <cat>
            <numRef>
              <f>'Dec'!$E$6:$AI$6</f>
            </numRef>
          </cat>
          <val>
            <numRef>
              <f>'Dec'!$T$32</f>
            </numRef>
          </val>
        </ser>
        <ser>
          <idx val="16"/>
          <order val="16"/>
          <spPr>
            <a:ln xmlns:a="http://schemas.openxmlformats.org/drawingml/2006/main">
              <a:prstDash val="solid"/>
            </a:ln>
          </spPr>
          <marker>
            <symbol val="none"/>
            <spPr>
              <a:ln xmlns:a="http://schemas.openxmlformats.org/drawingml/2006/main">
                <a:prstDash val="solid"/>
              </a:ln>
            </spPr>
          </marker>
          <cat>
            <numRef>
              <f>'Dec'!$E$6:$AI$6</f>
            </numRef>
          </cat>
          <val>
            <numRef>
              <f>'Dec'!$U$32</f>
            </numRef>
          </val>
        </ser>
        <ser>
          <idx val="17"/>
          <order val="17"/>
          <spPr>
            <a:ln xmlns:a="http://schemas.openxmlformats.org/drawingml/2006/main">
              <a:prstDash val="solid"/>
            </a:ln>
          </spPr>
          <marker>
            <symbol val="none"/>
            <spPr>
              <a:ln xmlns:a="http://schemas.openxmlformats.org/drawingml/2006/main">
                <a:prstDash val="solid"/>
              </a:ln>
            </spPr>
          </marker>
          <cat>
            <numRef>
              <f>'Dec'!$E$6:$AI$6</f>
            </numRef>
          </cat>
          <val>
            <numRef>
              <f>'Dec'!$V$32</f>
            </numRef>
          </val>
        </ser>
        <ser>
          <idx val="18"/>
          <order val="18"/>
          <spPr>
            <a:ln xmlns:a="http://schemas.openxmlformats.org/drawingml/2006/main">
              <a:prstDash val="solid"/>
            </a:ln>
          </spPr>
          <marker>
            <symbol val="none"/>
            <spPr>
              <a:ln xmlns:a="http://schemas.openxmlformats.org/drawingml/2006/main">
                <a:prstDash val="solid"/>
              </a:ln>
            </spPr>
          </marker>
          <cat>
            <numRef>
              <f>'Dec'!$E$6:$AI$6</f>
            </numRef>
          </cat>
          <val>
            <numRef>
              <f>'Dec'!$W$32</f>
            </numRef>
          </val>
        </ser>
        <ser>
          <idx val="19"/>
          <order val="19"/>
          <spPr>
            <a:ln xmlns:a="http://schemas.openxmlformats.org/drawingml/2006/main">
              <a:prstDash val="solid"/>
            </a:ln>
          </spPr>
          <marker>
            <symbol val="none"/>
            <spPr>
              <a:ln xmlns:a="http://schemas.openxmlformats.org/drawingml/2006/main">
                <a:prstDash val="solid"/>
              </a:ln>
            </spPr>
          </marker>
          <cat>
            <numRef>
              <f>'Dec'!$E$6:$AI$6</f>
            </numRef>
          </cat>
          <val>
            <numRef>
              <f>'Dec'!$X$32</f>
            </numRef>
          </val>
        </ser>
        <ser>
          <idx val="20"/>
          <order val="20"/>
          <spPr>
            <a:ln xmlns:a="http://schemas.openxmlformats.org/drawingml/2006/main">
              <a:prstDash val="solid"/>
            </a:ln>
          </spPr>
          <marker>
            <symbol val="none"/>
            <spPr>
              <a:ln xmlns:a="http://schemas.openxmlformats.org/drawingml/2006/main">
                <a:prstDash val="solid"/>
              </a:ln>
            </spPr>
          </marker>
          <cat>
            <numRef>
              <f>'Dec'!$E$6:$AI$6</f>
            </numRef>
          </cat>
          <val>
            <numRef>
              <f>'Dec'!$Y$32</f>
            </numRef>
          </val>
        </ser>
        <ser>
          <idx val="21"/>
          <order val="21"/>
          <spPr>
            <a:ln xmlns:a="http://schemas.openxmlformats.org/drawingml/2006/main">
              <a:prstDash val="solid"/>
            </a:ln>
          </spPr>
          <marker>
            <symbol val="none"/>
            <spPr>
              <a:ln xmlns:a="http://schemas.openxmlformats.org/drawingml/2006/main">
                <a:prstDash val="solid"/>
              </a:ln>
            </spPr>
          </marker>
          <cat>
            <numRef>
              <f>'Dec'!$E$6:$AI$6</f>
            </numRef>
          </cat>
          <val>
            <numRef>
              <f>'Dec'!$Z$32</f>
            </numRef>
          </val>
        </ser>
        <ser>
          <idx val="22"/>
          <order val="22"/>
          <spPr>
            <a:ln xmlns:a="http://schemas.openxmlformats.org/drawingml/2006/main">
              <a:prstDash val="solid"/>
            </a:ln>
          </spPr>
          <marker>
            <symbol val="none"/>
            <spPr>
              <a:ln xmlns:a="http://schemas.openxmlformats.org/drawingml/2006/main">
                <a:prstDash val="solid"/>
              </a:ln>
            </spPr>
          </marker>
          <cat>
            <numRef>
              <f>'Dec'!$E$6:$AI$6</f>
            </numRef>
          </cat>
          <val>
            <numRef>
              <f>'Dec'!$AA$32</f>
            </numRef>
          </val>
        </ser>
        <ser>
          <idx val="23"/>
          <order val="23"/>
          <spPr>
            <a:ln xmlns:a="http://schemas.openxmlformats.org/drawingml/2006/main">
              <a:prstDash val="solid"/>
            </a:ln>
          </spPr>
          <marker>
            <symbol val="none"/>
            <spPr>
              <a:ln xmlns:a="http://schemas.openxmlformats.org/drawingml/2006/main">
                <a:prstDash val="solid"/>
              </a:ln>
            </spPr>
          </marker>
          <cat>
            <numRef>
              <f>'Dec'!$E$6:$AI$6</f>
            </numRef>
          </cat>
          <val>
            <numRef>
              <f>'Dec'!$AB$32</f>
            </numRef>
          </val>
        </ser>
        <ser>
          <idx val="24"/>
          <order val="24"/>
          <spPr>
            <a:ln xmlns:a="http://schemas.openxmlformats.org/drawingml/2006/main">
              <a:prstDash val="solid"/>
            </a:ln>
          </spPr>
          <marker>
            <symbol val="none"/>
            <spPr>
              <a:ln xmlns:a="http://schemas.openxmlformats.org/drawingml/2006/main">
                <a:prstDash val="solid"/>
              </a:ln>
            </spPr>
          </marker>
          <cat>
            <numRef>
              <f>'Dec'!$E$6:$AI$6</f>
            </numRef>
          </cat>
          <val>
            <numRef>
              <f>'Dec'!$AC$32</f>
            </numRef>
          </val>
        </ser>
        <ser>
          <idx val="25"/>
          <order val="25"/>
          <spPr>
            <a:ln xmlns:a="http://schemas.openxmlformats.org/drawingml/2006/main">
              <a:prstDash val="solid"/>
            </a:ln>
          </spPr>
          <marker>
            <symbol val="none"/>
            <spPr>
              <a:ln xmlns:a="http://schemas.openxmlformats.org/drawingml/2006/main">
                <a:prstDash val="solid"/>
              </a:ln>
            </spPr>
          </marker>
          <cat>
            <numRef>
              <f>'Dec'!$E$6:$AI$6</f>
            </numRef>
          </cat>
          <val>
            <numRef>
              <f>'Dec'!$AD$32</f>
            </numRef>
          </val>
        </ser>
        <ser>
          <idx val="26"/>
          <order val="26"/>
          <spPr>
            <a:ln xmlns:a="http://schemas.openxmlformats.org/drawingml/2006/main">
              <a:prstDash val="solid"/>
            </a:ln>
          </spPr>
          <marker>
            <symbol val="none"/>
            <spPr>
              <a:ln xmlns:a="http://schemas.openxmlformats.org/drawingml/2006/main">
                <a:prstDash val="solid"/>
              </a:ln>
            </spPr>
          </marker>
          <cat>
            <numRef>
              <f>'Dec'!$E$6:$AI$6</f>
            </numRef>
          </cat>
          <val>
            <numRef>
              <f>'Dec'!$AE$32</f>
            </numRef>
          </val>
        </ser>
        <ser>
          <idx val="27"/>
          <order val="27"/>
          <spPr>
            <a:ln xmlns:a="http://schemas.openxmlformats.org/drawingml/2006/main">
              <a:prstDash val="solid"/>
            </a:ln>
          </spPr>
          <marker>
            <symbol val="none"/>
            <spPr>
              <a:ln xmlns:a="http://schemas.openxmlformats.org/drawingml/2006/main">
                <a:prstDash val="solid"/>
              </a:ln>
            </spPr>
          </marker>
          <cat>
            <numRef>
              <f>'Dec'!$E$6:$AI$6</f>
            </numRef>
          </cat>
          <val>
            <numRef>
              <f>'Dec'!$AF$32</f>
            </numRef>
          </val>
        </ser>
        <ser>
          <idx val="28"/>
          <order val="28"/>
          <spPr>
            <a:ln xmlns:a="http://schemas.openxmlformats.org/drawingml/2006/main">
              <a:prstDash val="solid"/>
            </a:ln>
          </spPr>
          <marker>
            <symbol val="none"/>
            <spPr>
              <a:ln xmlns:a="http://schemas.openxmlformats.org/drawingml/2006/main">
                <a:prstDash val="solid"/>
              </a:ln>
            </spPr>
          </marker>
          <cat>
            <numRef>
              <f>'Dec'!$E$6:$AI$6</f>
            </numRef>
          </cat>
          <val>
            <numRef>
              <f>'Dec'!$AG$32</f>
            </numRef>
          </val>
        </ser>
        <ser>
          <idx val="29"/>
          <order val="29"/>
          <spPr>
            <a:ln xmlns:a="http://schemas.openxmlformats.org/drawingml/2006/main">
              <a:prstDash val="solid"/>
            </a:ln>
          </spPr>
          <marker>
            <symbol val="none"/>
            <spPr>
              <a:ln xmlns:a="http://schemas.openxmlformats.org/drawingml/2006/main">
                <a:prstDash val="solid"/>
              </a:ln>
            </spPr>
          </marker>
          <cat>
            <numRef>
              <f>'Dec'!$E$6:$AI$6</f>
            </numRef>
          </cat>
          <val>
            <numRef>
              <f>'Dec'!$AH$32</f>
            </numRef>
          </val>
        </ser>
        <ser>
          <idx val="30"/>
          <order val="30"/>
          <spPr>
            <a:ln xmlns:a="http://schemas.openxmlformats.org/drawingml/2006/main">
              <a:prstDash val="solid"/>
            </a:ln>
          </spPr>
          <marker>
            <symbol val="none"/>
            <spPr>
              <a:ln xmlns:a="http://schemas.openxmlformats.org/drawingml/2006/main">
                <a:prstDash val="solid"/>
              </a:ln>
            </spPr>
          </marker>
          <cat>
            <numRef>
              <f>'Dec'!$E$6:$AI$6</f>
            </numRef>
          </cat>
          <val>
            <numRef>
              <f>'Dec'!$AI$32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Points</a:t>
                </a:r>
              </a:p>
            </rich>
          </tx>
        </title>
        <majorTickMark val="none"/>
        <minorTickMark val="none"/>
        <crossAx val="10"/>
      </valAx>
    </plotArea>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Good vs Bad (Daily Counts)</a:t>
            </a:r>
          </a:p>
        </rich>
      </tx>
    </title>
    <plotArea>
      <barChart>
        <barDir val="col"/>
        <grouping val="clustered"/>
        <ser>
          <idx val="0"/>
          <order val="0"/>
          <spPr>
            <a:ln xmlns:a="http://schemas.openxmlformats.org/drawingml/2006/main">
              <a:prstDash val="solid"/>
            </a:ln>
          </spPr>
          <cat>
            <numRef>
              <f>'Dec'!$E$6:$AI$6</f>
            </numRef>
          </cat>
          <val>
            <numRef>
              <f>'Dec'!$E$30:$AI$30</f>
            </numRef>
          </val>
        </ser>
        <ser>
          <idx val="1"/>
          <order val="1"/>
          <spPr>
            <a:ln xmlns:a="http://schemas.openxmlformats.org/drawingml/2006/main">
              <a:prstDash val="solid"/>
            </a:ln>
          </spPr>
          <cat>
            <numRef>
              <f>'Dec'!$E$6:$AI$6</f>
            </numRef>
          </cat>
          <val>
            <numRef>
              <f>'Dec'!$E$31:$AI$31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_rels/drawing3.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_rels/drawing4.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s>
</file>

<file path=xl/drawings/_rels/drawing5.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s>
</file>

<file path=xl/drawings/_rels/drawing6.xml.rels><Relationships xmlns="http://schemas.openxmlformats.org/package/2006/relationships"><Relationship Type="http://schemas.openxmlformats.org/officeDocument/2006/relationships/chart" Target="/xl/charts/chart12.xml" Id="rId1"/><Relationship Type="http://schemas.openxmlformats.org/officeDocument/2006/relationships/chart" Target="/xl/charts/chart13.xml" Id="rId2"/></Relationships>
</file>

<file path=xl/drawings/_rels/drawing7.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s>
</file>

<file path=xl/drawings/_rels/drawing8.xml.rels><Relationships xmlns="http://schemas.openxmlformats.org/package/2006/relationships"><Relationship Type="http://schemas.openxmlformats.org/officeDocument/2006/relationships/chart" Target="/xl/charts/chart16.xml" Id="rId1"/><Relationship Type="http://schemas.openxmlformats.org/officeDocument/2006/relationships/chart" Target="/xl/charts/chart17.xml" Id="rId2"/></Relationships>
</file>

<file path=xl/drawings/_rels/drawing9.xml.rels><Relationships xmlns="http://schemas.openxmlformats.org/package/2006/relationships"><Relationship Type="http://schemas.openxmlformats.org/officeDocument/2006/relationships/chart" Target="/xl/charts/chart18.xml" Id="rId1"/><Relationship Type="http://schemas.openxmlformats.org/officeDocument/2006/relationships/chart" Target="/xl/charts/chart19.xml" Id="rId2"/></Relationships>
</file>

<file path=xl/drawings/_rels/drawing10.xml.rels><Relationships xmlns="http://schemas.openxmlformats.org/package/2006/relationships"><Relationship Type="http://schemas.openxmlformats.org/officeDocument/2006/relationships/chart" Target="/xl/charts/chart20.xml" Id="rId1"/><Relationship Type="http://schemas.openxmlformats.org/officeDocument/2006/relationships/chart" Target="/xl/charts/chart21.xml" Id="rId2"/></Relationships>
</file>

<file path=xl/drawings/_rels/drawing11.xml.rels><Relationships xmlns="http://schemas.openxmlformats.org/package/2006/relationships"><Relationship Type="http://schemas.openxmlformats.org/officeDocument/2006/relationships/chart" Target="/xl/charts/chart22.xml" Id="rId1"/><Relationship Type="http://schemas.openxmlformats.org/officeDocument/2006/relationships/chart" Target="/xl/charts/chart23.xml" Id="rId2"/></Relationships>
</file>

<file path=xl/drawings/_rels/drawing12.xml.rels><Relationships xmlns="http://schemas.openxmlformats.org/package/2006/relationships"><Relationship Type="http://schemas.openxmlformats.org/officeDocument/2006/relationships/chart" Target="/xl/charts/chart24.xml" Id="rId1"/><Relationship Type="http://schemas.openxmlformats.org/officeDocument/2006/relationships/chart" Target="/xl/charts/chart25.xml" Id="rId2"/></Relationships>
</file>

<file path=xl/drawings/_rels/drawing13.xml.rels><Relationships xmlns="http://schemas.openxmlformats.org/package/2006/relationships"><Relationship Type="http://schemas.openxmlformats.org/officeDocument/2006/relationships/chart" Target="/xl/charts/chart26.xml" Id="rId1"/><Relationship Type="http://schemas.openxmlformats.org/officeDocument/2006/relationships/chart" Target="/xl/charts/chart27.xml" Id="rId2"/></Relationships>
</file>

<file path=xl/drawings/drawing1.xml><?xml version="1.0" encoding="utf-8"?>
<wsDr xmlns="http://schemas.openxmlformats.org/drawingml/2006/spreadsheetDrawing">
  <oneCellAnchor>
    <from>
      <col>8</col>
      <colOff>0</colOff>
      <row>9</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25</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25</row>
      <rowOff>0</rowOff>
    </from>
    <ext cx="57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0</col>
      <colOff>0</colOff>
      <row>35</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35</row>
      <rowOff>0</rowOff>
    </from>
    <ext cx="64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0</col>
      <colOff>0</colOff>
      <row>35</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35</row>
      <rowOff>0</rowOff>
    </from>
    <ext cx="64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4.xml><?xml version="1.0" encoding="utf-8"?>
<wsDr xmlns="http://schemas.openxmlformats.org/drawingml/2006/spreadsheetDrawing">
  <oneCellAnchor>
    <from>
      <col>0</col>
      <colOff>0</colOff>
      <row>35</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35</row>
      <rowOff>0</rowOff>
    </from>
    <ext cx="64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0</col>
      <colOff>0</colOff>
      <row>35</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35</row>
      <rowOff>0</rowOff>
    </from>
    <ext cx="64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6.xml><?xml version="1.0" encoding="utf-8"?>
<wsDr xmlns="http://schemas.openxmlformats.org/drawingml/2006/spreadsheetDrawing">
  <oneCellAnchor>
    <from>
      <col>0</col>
      <colOff>0</colOff>
      <row>35</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35</row>
      <rowOff>0</rowOff>
    </from>
    <ext cx="64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7.xml><?xml version="1.0" encoding="utf-8"?>
<wsDr xmlns="http://schemas.openxmlformats.org/drawingml/2006/spreadsheetDrawing">
  <oneCellAnchor>
    <from>
      <col>0</col>
      <colOff>0</colOff>
      <row>35</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35</row>
      <rowOff>0</rowOff>
    </from>
    <ext cx="64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8.xml><?xml version="1.0" encoding="utf-8"?>
<wsDr xmlns="http://schemas.openxmlformats.org/drawingml/2006/spreadsheetDrawing">
  <oneCellAnchor>
    <from>
      <col>0</col>
      <colOff>0</colOff>
      <row>35</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35</row>
      <rowOff>0</rowOff>
    </from>
    <ext cx="64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9.xml><?xml version="1.0" encoding="utf-8"?>
<wsDr xmlns="http://schemas.openxmlformats.org/drawingml/2006/spreadsheetDrawing">
  <oneCellAnchor>
    <from>
      <col>0</col>
      <colOff>0</colOff>
      <row>35</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35</row>
      <rowOff>0</rowOff>
    </from>
    <ext cx="64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10.xml><?xml version="1.0" encoding="utf-8"?>
<wsDr xmlns="http://schemas.openxmlformats.org/drawingml/2006/spreadsheetDrawing">
  <oneCellAnchor>
    <from>
      <col>0</col>
      <colOff>0</colOff>
      <row>35</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35</row>
      <rowOff>0</rowOff>
    </from>
    <ext cx="64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11.xml><?xml version="1.0" encoding="utf-8"?>
<wsDr xmlns="http://schemas.openxmlformats.org/drawingml/2006/spreadsheetDrawing">
  <oneCellAnchor>
    <from>
      <col>0</col>
      <colOff>0</colOff>
      <row>35</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35</row>
      <rowOff>0</rowOff>
    </from>
    <ext cx="64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12.xml><?xml version="1.0" encoding="utf-8"?>
<wsDr xmlns="http://schemas.openxmlformats.org/drawingml/2006/spreadsheetDrawing">
  <oneCellAnchor>
    <from>
      <col>0</col>
      <colOff>0</colOff>
      <row>35</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35</row>
      <rowOff>0</rowOff>
    </from>
    <ext cx="64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13.xml><?xml version="1.0" encoding="utf-8"?>
<wsDr xmlns="http://schemas.openxmlformats.org/drawingml/2006/spreadsheetDrawing">
  <oneCellAnchor>
    <from>
      <col>0</col>
      <colOff>0</colOff>
      <row>35</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35</row>
      <rowOff>0</rowOff>
    </from>
    <ext cx="64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drawing" Target="/xl/drawings/drawing8.xml" Id="rId1"/></Relationships>
</file>

<file path=xl/worksheets/_rels/sheet10.xml.rels><Relationships xmlns="http://schemas.openxmlformats.org/package/2006/relationships"><Relationship Type="http://schemas.openxmlformats.org/officeDocument/2006/relationships/drawing" Target="/xl/drawings/drawing9.xml" Id="rId1"/></Relationships>
</file>

<file path=xl/worksheets/_rels/sheet11.xml.rels><Relationships xmlns="http://schemas.openxmlformats.org/package/2006/relationships"><Relationship Type="http://schemas.openxmlformats.org/officeDocument/2006/relationships/drawing" Target="/xl/drawings/drawing10.xml" Id="rId1"/></Relationships>
</file>

<file path=xl/worksheets/_rels/sheet12.xml.rels><Relationships xmlns="http://schemas.openxmlformats.org/package/2006/relationships"><Relationship Type="http://schemas.openxmlformats.org/officeDocument/2006/relationships/drawing" Target="/xl/drawings/drawing11.xml" Id="rId1"/></Relationships>
</file>

<file path=xl/worksheets/_rels/sheet13.xml.rels><Relationships xmlns="http://schemas.openxmlformats.org/package/2006/relationships"><Relationship Type="http://schemas.openxmlformats.org/officeDocument/2006/relationships/drawing" Target="/xl/drawings/drawing12.xml" Id="rId1"/></Relationships>
</file>

<file path=xl/worksheets/_rels/sheet14.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outlinePr summaryBelow="1" summaryRight="1"/>
    <pageSetUpPr/>
  </sheetPr>
  <dimension ref="A1:N22"/>
  <sheetViews>
    <sheetView showGridLines="0" workbookViewId="0">
      <pane ySplit="9" topLeftCell="A10" activePane="bottomLeft" state="frozen"/>
      <selection pane="bottomLeft" activeCell="A1" sqref="A1"/>
    </sheetView>
  </sheetViews>
  <sheetFormatPr baseColWidth="8" defaultRowHeight="15"/>
  <cols>
    <col width="10" customWidth="1" min="1" max="1"/>
    <col width="18" customWidth="1" min="2" max="2"/>
    <col width="18" customWidth="1" min="3" max="3"/>
    <col width="18" customWidth="1" min="4" max="4"/>
    <col width="18" customWidth="1" min="5" max="5"/>
    <col width="12" customWidth="1" min="6" max="6"/>
    <col width="18"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Habit Tracker Dashboard</t>
        </is>
      </c>
    </row>
    <row r="3">
      <c r="A3" s="2" t="inlineStr">
        <is>
          <t>Year</t>
        </is>
      </c>
      <c r="E3" s="2" t="inlineStr">
        <is>
          <t>Good points</t>
        </is>
      </c>
      <c r="I3" s="2" t="inlineStr">
        <is>
          <t>Bad penalty</t>
        </is>
      </c>
    </row>
    <row r="4">
      <c r="A4" s="3">
        <f>Setup!$B$3</f>
        <v/>
      </c>
      <c r="E4" s="3">
        <f>Setup!$B$4</f>
        <v/>
      </c>
      <c r="I4" s="3">
        <f>Setup!$B$5</f>
        <v/>
      </c>
    </row>
    <row r="6">
      <c r="A6" s="2" t="inlineStr">
        <is>
          <t>Net score (YTD)</t>
        </is>
      </c>
      <c r="E6" s="2" t="inlineStr">
        <is>
          <t>Good done (YTD)</t>
        </is>
      </c>
      <c r="I6" s="2" t="inlineStr">
        <is>
          <t>Bad happened (YTD)</t>
        </is>
      </c>
    </row>
    <row r="7">
      <c r="A7" s="3">
        <f>SUM(Jan!$AM$33,Feb!$AM$33,Mar!$AM$33,Apr!$AM$33,May!$AM$33,Jun!$AM$33,Jul!$AM$33,Aug!$AM$33,Sep!$AM$33,Oct!$AM$33,Nov!$AM$33,Dec!$AM$33)</f>
        <v/>
      </c>
      <c r="E7" s="3">
        <f>SUM(Jan!$AM$31,Feb!$AM$31,Mar!$AM$31,Apr!$AM$31,May!$AM$31,Jun!$AM$31,Jul!$AM$31,Aug!$AM$31,Sep!$AM$31,Oct!$AM$31,Nov!$AM$31,Dec!$AM$31)</f>
        <v/>
      </c>
      <c r="I7" s="3">
        <f>SUM(Jan!$AM$32,Feb!$AM$32,Mar!$AM$32,Apr!$AM$32,May!$AM$32,Jun!$AM$32,Jul!$AM$32,Aug!$AM$32,Sep!$AM$32,Oct!$AM$32,Nov!$AM$32,Dec!$AM$32)</f>
        <v/>
      </c>
    </row>
    <row r="10">
      <c r="A10" s="4" t="inlineStr">
        <is>
          <t>Month</t>
        </is>
      </c>
      <c r="B10" s="4" t="inlineStr">
        <is>
          <t>Good done</t>
        </is>
      </c>
      <c r="C10" s="4" t="inlineStr">
        <is>
          <t>Bad happened</t>
        </is>
      </c>
      <c r="D10" s="4" t="inlineStr">
        <is>
          <t>Net score</t>
        </is>
      </c>
      <c r="E10" s="4" t="inlineStr">
        <is>
          <t>Avg completion (Good)</t>
        </is>
      </c>
      <c r="G10" s="4" t="inlineStr">
        <is>
          <t>Cumulative net</t>
        </is>
      </c>
    </row>
    <row r="11">
      <c r="A11" s="5" t="inlineStr">
        <is>
          <t>Jan</t>
        </is>
      </c>
      <c r="B11" s="5">
        <f>Jan!$AM$31</f>
        <v/>
      </c>
      <c r="C11" s="5">
        <f>Jan!$AM$32</f>
        <v/>
      </c>
      <c r="D11" s="5">
        <f>Jan!$AM$33</f>
        <v/>
      </c>
      <c r="E11" s="6">
        <f>Jan!$AM$34</f>
        <v/>
      </c>
      <c r="G11" s="5">
        <f>D11</f>
        <v/>
      </c>
    </row>
    <row r="12">
      <c r="A12" s="5" t="inlineStr">
        <is>
          <t>Feb</t>
        </is>
      </c>
      <c r="B12" s="5">
        <f>Feb!$AM$31</f>
        <v/>
      </c>
      <c r="C12" s="5">
        <f>Feb!$AM$32</f>
        <v/>
      </c>
      <c r="D12" s="5">
        <f>Feb!$AM$33</f>
        <v/>
      </c>
      <c r="E12" s="6">
        <f>Feb!$AM$34</f>
        <v/>
      </c>
      <c r="G12" s="5">
        <f>G11+D12</f>
        <v/>
      </c>
    </row>
    <row r="13">
      <c r="A13" s="5" t="inlineStr">
        <is>
          <t>Mar</t>
        </is>
      </c>
      <c r="B13" s="5">
        <f>Mar!$AM$31</f>
        <v/>
      </c>
      <c r="C13" s="5">
        <f>Mar!$AM$32</f>
        <v/>
      </c>
      <c r="D13" s="5">
        <f>Mar!$AM$33</f>
        <v/>
      </c>
      <c r="E13" s="6">
        <f>Mar!$AM$34</f>
        <v/>
      </c>
      <c r="G13" s="5">
        <f>G12+D13</f>
        <v/>
      </c>
    </row>
    <row r="14">
      <c r="A14" s="5" t="inlineStr">
        <is>
          <t>Apr</t>
        </is>
      </c>
      <c r="B14" s="5">
        <f>Apr!$AM$31</f>
        <v/>
      </c>
      <c r="C14" s="5">
        <f>Apr!$AM$32</f>
        <v/>
      </c>
      <c r="D14" s="5">
        <f>Apr!$AM$33</f>
        <v/>
      </c>
      <c r="E14" s="6">
        <f>Apr!$AM$34</f>
        <v/>
      </c>
      <c r="G14" s="5">
        <f>G13+D14</f>
        <v/>
      </c>
    </row>
    <row r="15">
      <c r="A15" s="5" t="inlineStr">
        <is>
          <t>May</t>
        </is>
      </c>
      <c r="B15" s="5">
        <f>May!$AM$31</f>
        <v/>
      </c>
      <c r="C15" s="5">
        <f>May!$AM$32</f>
        <v/>
      </c>
      <c r="D15" s="5">
        <f>May!$AM$33</f>
        <v/>
      </c>
      <c r="E15" s="6">
        <f>May!$AM$34</f>
        <v/>
      </c>
      <c r="G15" s="5">
        <f>G14+D15</f>
        <v/>
      </c>
    </row>
    <row r="16">
      <c r="A16" s="5" t="inlineStr">
        <is>
          <t>Jun</t>
        </is>
      </c>
      <c r="B16" s="5">
        <f>Jun!$AM$31</f>
        <v/>
      </c>
      <c r="C16" s="5">
        <f>Jun!$AM$32</f>
        <v/>
      </c>
      <c r="D16" s="5">
        <f>Jun!$AM$33</f>
        <v/>
      </c>
      <c r="E16" s="6">
        <f>Jun!$AM$34</f>
        <v/>
      </c>
      <c r="G16" s="5">
        <f>G15+D16</f>
        <v/>
      </c>
    </row>
    <row r="17">
      <c r="A17" s="5" t="inlineStr">
        <is>
          <t>Jul</t>
        </is>
      </c>
      <c r="B17" s="5">
        <f>Jul!$AM$31</f>
        <v/>
      </c>
      <c r="C17" s="5">
        <f>Jul!$AM$32</f>
        <v/>
      </c>
      <c r="D17" s="5">
        <f>Jul!$AM$33</f>
        <v/>
      </c>
      <c r="E17" s="6">
        <f>Jul!$AM$34</f>
        <v/>
      </c>
      <c r="G17" s="5">
        <f>G16+D17</f>
        <v/>
      </c>
    </row>
    <row r="18">
      <c r="A18" s="5" t="inlineStr">
        <is>
          <t>Aug</t>
        </is>
      </c>
      <c r="B18" s="5">
        <f>Aug!$AM$31</f>
        <v/>
      </c>
      <c r="C18" s="5">
        <f>Aug!$AM$32</f>
        <v/>
      </c>
      <c r="D18" s="5">
        <f>Aug!$AM$33</f>
        <v/>
      </c>
      <c r="E18" s="6">
        <f>Aug!$AM$34</f>
        <v/>
      </c>
      <c r="G18" s="5">
        <f>G17+D18</f>
        <v/>
      </c>
    </row>
    <row r="19">
      <c r="A19" s="5" t="inlineStr">
        <is>
          <t>Sep</t>
        </is>
      </c>
      <c r="B19" s="5">
        <f>Sep!$AM$31</f>
        <v/>
      </c>
      <c r="C19" s="5">
        <f>Sep!$AM$32</f>
        <v/>
      </c>
      <c r="D19" s="5">
        <f>Sep!$AM$33</f>
        <v/>
      </c>
      <c r="E19" s="6">
        <f>Sep!$AM$34</f>
        <v/>
      </c>
      <c r="G19" s="5">
        <f>G18+D19</f>
        <v/>
      </c>
    </row>
    <row r="20">
      <c r="A20" s="5" t="inlineStr">
        <is>
          <t>Oct</t>
        </is>
      </c>
      <c r="B20" s="5">
        <f>Oct!$AM$31</f>
        <v/>
      </c>
      <c r="C20" s="5">
        <f>Oct!$AM$32</f>
        <v/>
      </c>
      <c r="D20" s="5">
        <f>Oct!$AM$33</f>
        <v/>
      </c>
      <c r="E20" s="6">
        <f>Oct!$AM$34</f>
        <v/>
      </c>
      <c r="G20" s="5">
        <f>G19+D20</f>
        <v/>
      </c>
    </row>
    <row r="21">
      <c r="A21" s="5" t="inlineStr">
        <is>
          <t>Nov</t>
        </is>
      </c>
      <c r="B21" s="5">
        <f>Nov!$AM$31</f>
        <v/>
      </c>
      <c r="C21" s="5">
        <f>Nov!$AM$32</f>
        <v/>
      </c>
      <c r="D21" s="5">
        <f>Nov!$AM$33</f>
        <v/>
      </c>
      <c r="E21" s="6">
        <f>Nov!$AM$34</f>
        <v/>
      </c>
      <c r="G21" s="5">
        <f>G20+D21</f>
        <v/>
      </c>
    </row>
    <row r="22">
      <c r="A22" s="5" t="inlineStr">
        <is>
          <t>Dec</t>
        </is>
      </c>
      <c r="B22" s="5">
        <f>Dec!$AM$31</f>
        <v/>
      </c>
      <c r="C22" s="5">
        <f>Dec!$AM$32</f>
        <v/>
      </c>
      <c r="D22" s="5">
        <f>Dec!$AM$33</f>
        <v/>
      </c>
      <c r="E22" s="6">
        <f>Dec!$AM$34</f>
        <v/>
      </c>
      <c r="G22" s="5">
        <f>G21+D22</f>
        <v/>
      </c>
    </row>
  </sheetData>
  <mergeCells count="13">
    <mergeCell ref="A6:D6"/>
    <mergeCell ref="E3:H3"/>
    <mergeCell ref="I3:L3"/>
    <mergeCell ref="A4:D4"/>
    <mergeCell ref="E4:H4"/>
    <mergeCell ref="A3:D3"/>
    <mergeCell ref="I4:L4"/>
    <mergeCell ref="E6:H6"/>
    <mergeCell ref="I6:L6"/>
    <mergeCell ref="A7:D7"/>
    <mergeCell ref="E7:H7"/>
    <mergeCell ref="I7:L7"/>
    <mergeCell ref="A1:N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8"/>
  <sheetViews>
    <sheetView showGridLines="0" workbookViewId="0">
      <selection activeCell="A1" sqref="A1"/>
    </sheetView>
  </sheetViews>
  <sheetFormatPr baseColWidth="8" defaultRowHeight="15"/>
  <cols>
    <col width="28" customWidth="1" min="1" max="1"/>
    <col width="16" customWidth="1" min="2" max="2"/>
    <col width="16" customWidth="1" min="3" max="3"/>
    <col width="12" customWidth="1" min="4" max="4"/>
    <col width="10" customWidth="1" min="5" max="5"/>
    <col width="16" customWidth="1" min="7" max="7"/>
    <col width="42" customWidth="1" min="8" max="8"/>
  </cols>
  <sheetData>
    <row r="1">
      <c r="A1" s="7" t="inlineStr">
        <is>
          <t>Habit Tracker Dashboard (No Macros) — Setup</t>
        </is>
      </c>
    </row>
    <row r="3">
      <c r="A3" s="8" t="inlineStr">
        <is>
          <t>Year</t>
        </is>
      </c>
      <c r="B3" s="9" t="n">
        <v>2026</v>
      </c>
      <c r="G3" s="10" t="inlineStr">
        <is>
          <t>Tip:</t>
        </is>
      </c>
    </row>
    <row r="4">
      <c r="A4" s="8" t="inlineStr">
        <is>
          <t>Good habit points</t>
        </is>
      </c>
      <c r="B4" s="9" t="n">
        <v>1</v>
      </c>
      <c r="G4" s="11" t="inlineStr">
        <is>
          <t>• Add habits below. Set Active=1 to include in dashboards.</t>
        </is>
      </c>
    </row>
    <row r="5">
      <c r="A5" s="8" t="inlineStr">
        <is>
          <t>Bad habit penalty (negative)</t>
        </is>
      </c>
      <c r="B5" s="9" t="n">
        <v>-4</v>
      </c>
      <c r="G5" s="11" t="inlineStr">
        <is>
          <t>• In month sheets, enter 1 when you did a habit, 0 when you didn't.</t>
        </is>
      </c>
    </row>
    <row r="6">
      <c r="G6" s="11" t="inlineStr">
        <is>
          <t>• Bad habits: enter 1 when they happened (penalty applies).</t>
        </is>
      </c>
    </row>
    <row r="8">
      <c r="A8" s="4" t="inlineStr">
        <is>
          <t>Habit</t>
        </is>
      </c>
      <c r="B8" s="4" t="inlineStr">
        <is>
          <t>Type (Good/Bad)</t>
        </is>
      </c>
      <c r="C8" s="4" t="inlineStr">
        <is>
          <t>Category</t>
        </is>
      </c>
      <c r="D8" s="4" t="inlineStr">
        <is>
          <t>Active (1/0)</t>
        </is>
      </c>
      <c r="E8" s="4" t="inlineStr">
        <is>
          <t>Points</t>
        </is>
      </c>
    </row>
    <row r="9">
      <c r="A9" s="12" t="inlineStr">
        <is>
          <t>Exercise</t>
        </is>
      </c>
      <c r="B9" s="13" t="inlineStr">
        <is>
          <t>Good</t>
        </is>
      </c>
      <c r="C9" s="12" t="inlineStr">
        <is>
          <t>Health</t>
        </is>
      </c>
      <c r="D9" s="13" t="n">
        <v>1</v>
      </c>
      <c r="E9" s="14">
        <f>IF($B9="Good",$B$4,IF($B9="Bad",$B$5,0))</f>
        <v/>
      </c>
    </row>
    <row r="10">
      <c r="A10" s="12" t="inlineStr">
        <is>
          <t>Deep Work (2h)</t>
        </is>
      </c>
      <c r="B10" s="13" t="inlineStr">
        <is>
          <t>Good</t>
        </is>
      </c>
      <c r="C10" s="12" t="inlineStr">
        <is>
          <t>Work</t>
        </is>
      </c>
      <c r="D10" s="13" t="n">
        <v>1</v>
      </c>
      <c r="E10" s="14">
        <f>IF($B10="Good",$B$4,IF($B10="Bad",$B$5,0))</f>
        <v/>
      </c>
    </row>
    <row r="11">
      <c r="A11" s="12" t="inlineStr">
        <is>
          <t>Junk Food</t>
        </is>
      </c>
      <c r="B11" s="13" t="inlineStr">
        <is>
          <t>Bad</t>
        </is>
      </c>
      <c r="C11" s="12" t="inlineStr">
        <is>
          <t>Health</t>
        </is>
      </c>
      <c r="D11" s="13" t="n">
        <v>1</v>
      </c>
      <c r="E11" s="14">
        <f>IF($B11="Good",$B$4,IF($B11="Bad",$B$5,0))</f>
        <v/>
      </c>
    </row>
    <row r="12">
      <c r="A12" s="12" t="inlineStr">
        <is>
          <t>Social Media &gt; 1h</t>
        </is>
      </c>
      <c r="B12" s="13" t="inlineStr">
        <is>
          <t>Bad</t>
        </is>
      </c>
      <c r="C12" s="12" t="inlineStr">
        <is>
          <t>Distraction</t>
        </is>
      </c>
      <c r="D12" s="13" t="n">
        <v>1</v>
      </c>
      <c r="E12" s="14">
        <f>IF($B12="Good",$B$4,IF($B12="Bad",$B$5,0))</f>
        <v/>
      </c>
    </row>
    <row r="13">
      <c r="A13" s="12" t="n"/>
      <c r="B13" s="13" t="n"/>
      <c r="C13" s="12" t="n"/>
      <c r="D13" s="13" t="n">
        <v>0</v>
      </c>
      <c r="E13" s="14">
        <f>IF($B13="Good",$B$4,IF($B13="Bad",$B$5,0))</f>
        <v/>
      </c>
    </row>
    <row r="14">
      <c r="A14" s="12" t="n"/>
      <c r="B14" s="13" t="n"/>
      <c r="C14" s="12" t="n"/>
      <c r="D14" s="13" t="n">
        <v>0</v>
      </c>
      <c r="E14" s="14">
        <f>IF($B14="Good",$B$4,IF($B14="Bad",$B$5,0))</f>
        <v/>
      </c>
    </row>
    <row r="15">
      <c r="A15" s="12" t="n"/>
      <c r="B15" s="13" t="n"/>
      <c r="C15" s="12" t="n"/>
      <c r="D15" s="13" t="n">
        <v>0</v>
      </c>
      <c r="E15" s="14">
        <f>IF($B15="Good",$B$4,IF($B15="Bad",$B$5,0))</f>
        <v/>
      </c>
    </row>
    <row r="16">
      <c r="A16" s="12" t="n"/>
      <c r="B16" s="13" t="n"/>
      <c r="C16" s="12" t="n"/>
      <c r="D16" s="13" t="n">
        <v>0</v>
      </c>
      <c r="E16" s="14">
        <f>IF($B16="Good",$B$4,IF($B16="Bad",$B$5,0))</f>
        <v/>
      </c>
    </row>
    <row r="17">
      <c r="A17" s="12" t="n"/>
      <c r="B17" s="13" t="n"/>
      <c r="C17" s="12" t="n"/>
      <c r="D17" s="13" t="n">
        <v>0</v>
      </c>
      <c r="E17" s="14">
        <f>IF($B17="Good",$B$4,IF($B17="Bad",$B$5,0))</f>
        <v/>
      </c>
    </row>
    <row r="18">
      <c r="A18" s="12" t="n"/>
      <c r="B18" s="13" t="n"/>
      <c r="C18" s="12" t="n"/>
      <c r="D18" s="13" t="n">
        <v>0</v>
      </c>
      <c r="E18" s="14">
        <f>IF($B18="Good",$B$4,IF($B18="Bad",$B$5,0))</f>
        <v/>
      </c>
    </row>
    <row r="19">
      <c r="A19" s="12" t="n"/>
      <c r="B19" s="13" t="n"/>
      <c r="C19" s="12" t="n"/>
      <c r="D19" s="13" t="n">
        <v>0</v>
      </c>
      <c r="E19" s="14">
        <f>IF($B19="Good",$B$4,IF($B19="Bad",$B$5,0))</f>
        <v/>
      </c>
    </row>
    <row r="20">
      <c r="A20" s="12" t="n"/>
      <c r="B20" s="13" t="n"/>
      <c r="C20" s="12" t="n"/>
      <c r="D20" s="13" t="n">
        <v>0</v>
      </c>
      <c r="E20" s="14">
        <f>IF($B20="Good",$B$4,IF($B20="Bad",$B$5,0))</f>
        <v/>
      </c>
    </row>
    <row r="21">
      <c r="A21" s="12" t="n"/>
      <c r="B21" s="13" t="n"/>
      <c r="C21" s="12" t="n"/>
      <c r="D21" s="13" t="n">
        <v>0</v>
      </c>
      <c r="E21" s="14">
        <f>IF($B21="Good",$B$4,IF($B21="Bad",$B$5,0))</f>
        <v/>
      </c>
    </row>
    <row r="22">
      <c r="A22" s="12" t="n"/>
      <c r="B22" s="13" t="n"/>
      <c r="C22" s="12" t="n"/>
      <c r="D22" s="13" t="n">
        <v>0</v>
      </c>
      <c r="E22" s="14">
        <f>IF($B22="Good",$B$4,IF($B22="Bad",$B$5,0))</f>
        <v/>
      </c>
    </row>
    <row r="23">
      <c r="A23" s="12" t="n"/>
      <c r="B23" s="13" t="n"/>
      <c r="C23" s="12" t="n"/>
      <c r="D23" s="13" t="n">
        <v>0</v>
      </c>
      <c r="E23" s="14">
        <f>IF($B23="Good",$B$4,IF($B23="Bad",$B$5,0))</f>
        <v/>
      </c>
    </row>
    <row r="24">
      <c r="A24" s="12" t="n"/>
      <c r="B24" s="13" t="n"/>
      <c r="C24" s="12" t="n"/>
      <c r="D24" s="13" t="n">
        <v>0</v>
      </c>
      <c r="E24" s="14">
        <f>IF($B24="Good",$B$4,IF($B24="Bad",$B$5,0))</f>
        <v/>
      </c>
    </row>
    <row r="25">
      <c r="A25" s="12" t="n"/>
      <c r="B25" s="13" t="n"/>
      <c r="C25" s="12" t="n"/>
      <c r="D25" s="13" t="n">
        <v>0</v>
      </c>
      <c r="E25" s="14">
        <f>IF($B25="Good",$B$4,IF($B25="Bad",$B$5,0))</f>
        <v/>
      </c>
    </row>
    <row r="26">
      <c r="A26" s="12" t="n"/>
      <c r="B26" s="13" t="n"/>
      <c r="C26" s="12" t="n"/>
      <c r="D26" s="13" t="n">
        <v>0</v>
      </c>
      <c r="E26" s="14">
        <f>IF($B26="Good",$B$4,IF($B26="Bad",$B$5,0))</f>
        <v/>
      </c>
    </row>
    <row r="27">
      <c r="A27" s="12" t="n"/>
      <c r="B27" s="13" t="n"/>
      <c r="C27" s="12" t="n"/>
      <c r="D27" s="13" t="n">
        <v>0</v>
      </c>
      <c r="E27" s="14">
        <f>IF($B27="Good",$B$4,IF($B27="Bad",$B$5,0))</f>
        <v/>
      </c>
    </row>
    <row r="28">
      <c r="A28" s="12" t="n"/>
      <c r="B28" s="13" t="n"/>
      <c r="C28" s="12" t="n"/>
      <c r="D28" s="13" t="n">
        <v>0</v>
      </c>
      <c r="E28" s="14">
        <f>IF($B28="Good",$B$4,IF($B28="Bad",$B$5,0))</f>
        <v/>
      </c>
    </row>
  </sheetData>
  <mergeCells count="4">
    <mergeCell ref="G5:H5"/>
    <mergeCell ref="G4:H4"/>
    <mergeCell ref="G6:H6"/>
    <mergeCell ref="A1:H1"/>
  </mergeCells>
  <dataValidations count="2">
    <dataValidation sqref="B9:B28" showDropDown="0" showInputMessage="0" showErrorMessage="0" allowBlank="1" type="list">
      <formula1>"Good,Bad"</formula1>
    </dataValidation>
    <dataValidation sqref="D9:D28" showDropDown="0" showInputMessage="0" showErrorMessage="0" allowBlank="0" type="list">
      <formula1>"0,1"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3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9"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7" customWidth="1" min="36" max="36"/>
    <col width="18" customWidth="1" min="38" max="38"/>
    <col width="12" customWidth="1" min="39" max="39"/>
  </cols>
  <sheetData>
    <row r="1">
      <c r="A1" s="15" t="inlineStr">
        <is>
          <t>Jan Habit Tracker</t>
        </is>
      </c>
    </row>
    <row r="2">
      <c r="A2" s="10" t="inlineStr">
        <is>
          <t>Year:</t>
        </is>
      </c>
      <c r="B2">
        <f>Setup!$B$3</f>
        <v/>
      </c>
      <c r="C2" s="10" t="inlineStr">
        <is>
          <t>Month:</t>
        </is>
      </c>
      <c r="D2" t="inlineStr">
        <is>
          <t>Jan</t>
        </is>
      </c>
    </row>
    <row r="3">
      <c r="A3" s="10" t="inlineStr">
        <is>
          <t>Days in month:</t>
        </is>
      </c>
      <c r="B3">
        <f>DAY(EOMONTH(DATE(Setup!$B$3,1,1),0))</f>
        <v/>
      </c>
    </row>
    <row r="5" ht="18" customHeight="1">
      <c r="E5" s="16">
        <f>TEXT(DATE(Setup!$B$3,1,1),"ddd")</f>
        <v/>
      </c>
      <c r="F5" s="16">
        <f>TEXT(DATE(Setup!$B$3,1,2),"ddd")</f>
        <v/>
      </c>
      <c r="G5" s="16">
        <f>TEXT(DATE(Setup!$B$3,1,3),"ddd")</f>
        <v/>
      </c>
      <c r="H5" s="16">
        <f>TEXT(DATE(Setup!$B$3,1,4),"ddd")</f>
        <v/>
      </c>
      <c r="I5" s="16">
        <f>TEXT(DATE(Setup!$B$3,1,5),"ddd")</f>
        <v/>
      </c>
      <c r="J5" s="16">
        <f>TEXT(DATE(Setup!$B$3,1,6),"ddd")</f>
        <v/>
      </c>
      <c r="K5" s="16">
        <f>TEXT(DATE(Setup!$B$3,1,7),"ddd")</f>
        <v/>
      </c>
      <c r="L5" s="16">
        <f>TEXT(DATE(Setup!$B$3,1,8),"ddd")</f>
        <v/>
      </c>
      <c r="M5" s="16">
        <f>TEXT(DATE(Setup!$B$3,1,9),"ddd")</f>
        <v/>
      </c>
      <c r="N5" s="16">
        <f>TEXT(DATE(Setup!$B$3,1,10),"ddd")</f>
        <v/>
      </c>
      <c r="O5" s="16">
        <f>TEXT(DATE(Setup!$B$3,1,11),"ddd")</f>
        <v/>
      </c>
      <c r="P5" s="16">
        <f>TEXT(DATE(Setup!$B$3,1,12),"ddd")</f>
        <v/>
      </c>
      <c r="Q5" s="16">
        <f>TEXT(DATE(Setup!$B$3,1,13),"ddd")</f>
        <v/>
      </c>
      <c r="R5" s="16">
        <f>TEXT(DATE(Setup!$B$3,1,14),"ddd")</f>
        <v/>
      </c>
      <c r="S5" s="16">
        <f>TEXT(DATE(Setup!$B$3,1,15),"ddd")</f>
        <v/>
      </c>
      <c r="T5" s="16">
        <f>TEXT(DATE(Setup!$B$3,1,16),"ddd")</f>
        <v/>
      </c>
      <c r="U5" s="16">
        <f>TEXT(DATE(Setup!$B$3,1,17),"ddd")</f>
        <v/>
      </c>
      <c r="V5" s="16">
        <f>TEXT(DATE(Setup!$B$3,1,18),"ddd")</f>
        <v/>
      </c>
      <c r="W5" s="16">
        <f>TEXT(DATE(Setup!$B$3,1,19),"ddd")</f>
        <v/>
      </c>
      <c r="X5" s="16">
        <f>TEXT(DATE(Setup!$B$3,1,20),"ddd")</f>
        <v/>
      </c>
      <c r="Y5" s="16">
        <f>TEXT(DATE(Setup!$B$3,1,21),"ddd")</f>
        <v/>
      </c>
      <c r="Z5" s="16">
        <f>TEXT(DATE(Setup!$B$3,1,22),"ddd")</f>
        <v/>
      </c>
      <c r="AA5" s="16">
        <f>TEXT(DATE(Setup!$B$3,1,23),"ddd")</f>
        <v/>
      </c>
      <c r="AB5" s="16">
        <f>TEXT(DATE(Setup!$B$3,1,24),"ddd")</f>
        <v/>
      </c>
      <c r="AC5" s="16">
        <f>TEXT(DATE(Setup!$B$3,1,25),"ddd")</f>
        <v/>
      </c>
      <c r="AD5" s="16">
        <f>TEXT(DATE(Setup!$B$3,1,26),"ddd")</f>
        <v/>
      </c>
      <c r="AE5" s="16">
        <f>TEXT(DATE(Setup!$B$3,1,27),"ddd")</f>
        <v/>
      </c>
      <c r="AF5" s="16">
        <f>TEXT(DATE(Setup!$B$3,1,28),"ddd")</f>
        <v/>
      </c>
      <c r="AG5" s="16">
        <f>TEXT(DATE(Setup!$B$3,1,29),"ddd")</f>
        <v/>
      </c>
      <c r="AH5" s="16">
        <f>TEXT(DATE(Setup!$B$3,1,30),"ddd")</f>
        <v/>
      </c>
      <c r="AI5" s="16">
        <f>TEXT(DATE(Setup!$B$3,1,31),"ddd")</f>
        <v/>
      </c>
    </row>
    <row r="6" ht="18" customHeight="1">
      <c r="A6" s="17" t="inlineStr">
        <is>
          <t>Active</t>
        </is>
      </c>
      <c r="B6" s="17" t="inlineStr">
        <is>
          <t>Habit</t>
        </is>
      </c>
      <c r="C6" s="17" t="inlineStr">
        <is>
          <t>Type</t>
        </is>
      </c>
      <c r="D6" s="17" t="inlineStr">
        <is>
          <t>Points</t>
        </is>
      </c>
      <c r="E6" s="18" t="n">
        <v>1</v>
      </c>
      <c r="F6" s="18" t="n">
        <v>2</v>
      </c>
      <c r="G6" s="18" t="n">
        <v>3</v>
      </c>
      <c r="H6" s="18" t="n">
        <v>4</v>
      </c>
      <c r="I6" s="18" t="n">
        <v>5</v>
      </c>
      <c r="J6" s="18" t="n">
        <v>6</v>
      </c>
      <c r="K6" s="18" t="n">
        <v>7</v>
      </c>
      <c r="L6" s="18" t="n">
        <v>8</v>
      </c>
      <c r="M6" s="18" t="n">
        <v>9</v>
      </c>
      <c r="N6" s="18" t="n">
        <v>10</v>
      </c>
      <c r="O6" s="18" t="n">
        <v>11</v>
      </c>
      <c r="P6" s="18" t="n">
        <v>12</v>
      </c>
      <c r="Q6" s="18" t="n">
        <v>13</v>
      </c>
      <c r="R6" s="18" t="n">
        <v>14</v>
      </c>
      <c r="S6" s="18" t="n">
        <v>15</v>
      </c>
      <c r="T6" s="18" t="n">
        <v>16</v>
      </c>
      <c r="U6" s="18" t="n">
        <v>17</v>
      </c>
      <c r="V6" s="18" t="n">
        <v>18</v>
      </c>
      <c r="W6" s="18" t="n">
        <v>19</v>
      </c>
      <c r="X6" s="18" t="n">
        <v>20</v>
      </c>
      <c r="Y6" s="18" t="n">
        <v>21</v>
      </c>
      <c r="Z6" s="18" t="n">
        <v>22</v>
      </c>
      <c r="AA6" s="18" t="n">
        <v>23</v>
      </c>
      <c r="AB6" s="18" t="n">
        <v>24</v>
      </c>
      <c r="AC6" s="18" t="n">
        <v>25</v>
      </c>
      <c r="AD6" s="18" t="n">
        <v>26</v>
      </c>
      <c r="AE6" s="18" t="n">
        <v>27</v>
      </c>
      <c r="AF6" s="18" t="n">
        <v>28</v>
      </c>
      <c r="AG6" s="18" t="n">
        <v>29</v>
      </c>
      <c r="AH6" s="18" t="n">
        <v>30</v>
      </c>
      <c r="AI6" s="18" t="n">
        <v>31</v>
      </c>
      <c r="AJ6" s="17" t="inlineStr">
        <is>
          <t>Total</t>
        </is>
      </c>
    </row>
    <row r="7">
      <c r="A7" s="19">
        <f>Setup!D9</f>
        <v/>
      </c>
      <c r="B7" s="20">
        <f>Setup!A9</f>
        <v/>
      </c>
      <c r="C7" s="19">
        <f>Setup!B9</f>
        <v/>
      </c>
      <c r="D7" s="19">
        <f>Setup!E9</f>
        <v/>
      </c>
      <c r="E7" s="21" t="inlineStr"/>
      <c r="F7" s="21" t="inlineStr"/>
      <c r="G7" s="21" t="inlineStr"/>
      <c r="H7" s="21" t="inlineStr"/>
      <c r="I7" s="21" t="inlineStr"/>
      <c r="J7" s="21" t="inlineStr"/>
      <c r="K7" s="21" t="inlineStr"/>
      <c r="L7" s="21" t="inlineStr"/>
      <c r="M7" s="21" t="inlineStr"/>
      <c r="N7" s="21" t="inlineStr"/>
      <c r="O7" s="21" t="inlineStr"/>
      <c r="P7" s="21" t="inlineStr"/>
      <c r="Q7" s="21" t="inlineStr"/>
      <c r="R7" s="21" t="inlineStr"/>
      <c r="S7" s="21" t="inlineStr"/>
      <c r="T7" s="21" t="inlineStr"/>
      <c r="U7" s="21" t="inlineStr"/>
      <c r="V7" s="21" t="inlineStr"/>
      <c r="W7" s="21" t="inlineStr"/>
      <c r="X7" s="21" t="inlineStr"/>
      <c r="Y7" s="21" t="inlineStr"/>
      <c r="Z7" s="21" t="inlineStr"/>
      <c r="AA7" s="21" t="inlineStr"/>
      <c r="AB7" s="21" t="inlineStr"/>
      <c r="AC7" s="21" t="inlineStr"/>
      <c r="AD7" s="21" t="inlineStr"/>
      <c r="AE7" s="21" t="inlineStr"/>
      <c r="AF7" s="21" t="inlineStr"/>
      <c r="AG7" s="21" t="inlineStr"/>
      <c r="AH7" s="21" t="inlineStr"/>
      <c r="AI7" s="21" t="inlineStr"/>
      <c r="AJ7" s="22">
        <f>IF($A7=1,SUMPRODUCT(($E$6:$AI$6&lt;=$B$3)*(E7:AI7)),"")</f>
        <v/>
      </c>
    </row>
    <row r="8">
      <c r="A8" s="19">
        <f>Setup!D10</f>
        <v/>
      </c>
      <c r="B8" s="20">
        <f>Setup!A10</f>
        <v/>
      </c>
      <c r="C8" s="19">
        <f>Setup!B10</f>
        <v/>
      </c>
      <c r="D8" s="19">
        <f>Setup!E10</f>
        <v/>
      </c>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2">
        <f>IF($A8=1,SUMPRODUCT(($E$6:$AI$6&lt;=$B$3)*(E8:AI8)),"")</f>
        <v/>
      </c>
    </row>
    <row r="9">
      <c r="A9" s="19">
        <f>Setup!D11</f>
        <v/>
      </c>
      <c r="B9" s="20">
        <f>Setup!A11</f>
        <v/>
      </c>
      <c r="C9" s="19">
        <f>Setup!B11</f>
        <v/>
      </c>
      <c r="D9" s="19">
        <f>Setup!E11</f>
        <v/>
      </c>
      <c r="E9" s="21" t="inlineStr"/>
      <c r="F9" s="21" t="inlineStr"/>
      <c r="G9" s="21" t="inlineStr"/>
      <c r="H9" s="21" t="inlineStr"/>
      <c r="I9" s="21" t="inlineStr"/>
      <c r="J9" s="21" t="inlineStr"/>
      <c r="K9" s="21" t="inlineStr"/>
      <c r="L9" s="21" t="inlineStr"/>
      <c r="M9" s="21" t="inlineStr"/>
      <c r="N9" s="21" t="inlineStr"/>
      <c r="O9" s="21" t="inlineStr"/>
      <c r="P9" s="21" t="inlineStr"/>
      <c r="Q9" s="21" t="inlineStr"/>
      <c r="R9" s="21" t="inlineStr"/>
      <c r="S9" s="21" t="inlineStr"/>
      <c r="T9" s="21" t="inlineStr"/>
      <c r="U9" s="21" t="inlineStr"/>
      <c r="V9" s="21" t="inlineStr"/>
      <c r="W9" s="21" t="inlineStr"/>
      <c r="X9" s="21" t="inlineStr"/>
      <c r="Y9" s="21" t="inlineStr"/>
      <c r="Z9" s="21" t="inlineStr"/>
      <c r="AA9" s="21" t="inlineStr"/>
      <c r="AB9" s="21" t="inlineStr"/>
      <c r="AC9" s="21" t="inlineStr"/>
      <c r="AD9" s="21" t="inlineStr"/>
      <c r="AE9" s="21" t="inlineStr"/>
      <c r="AF9" s="21" t="inlineStr"/>
      <c r="AG9" s="21" t="inlineStr"/>
      <c r="AH9" s="21" t="inlineStr"/>
      <c r="AI9" s="21" t="inlineStr"/>
      <c r="AJ9" s="22">
        <f>IF($A9=1,SUMPRODUCT(($E$6:$AI$6&lt;=$B$3)*(E9:AI9)),"")</f>
        <v/>
      </c>
    </row>
    <row r="10">
      <c r="A10" s="19">
        <f>Setup!D12</f>
        <v/>
      </c>
      <c r="B10" s="20">
        <f>Setup!A12</f>
        <v/>
      </c>
      <c r="C10" s="19">
        <f>Setup!B12</f>
        <v/>
      </c>
      <c r="D10" s="19">
        <f>Setup!E12</f>
        <v/>
      </c>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2">
        <f>IF($A10=1,SUMPRODUCT(($E$6:$AI$6&lt;=$B$3)*(E10:AI10)),"")</f>
        <v/>
      </c>
    </row>
    <row r="11">
      <c r="A11" s="19">
        <f>Setup!D13</f>
        <v/>
      </c>
      <c r="B11" s="20">
        <f>Setup!A13</f>
        <v/>
      </c>
      <c r="C11" s="19">
        <f>Setup!B13</f>
        <v/>
      </c>
      <c r="D11" s="19">
        <f>Setup!E13</f>
        <v/>
      </c>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c r="R11" s="21" t="inlineStr"/>
      <c r="S11" s="21" t="inlineStr"/>
      <c r="T11" s="21" t="inlineStr"/>
      <c r="U11" s="21" t="inlineStr"/>
      <c r="V11" s="21" t="inlineStr"/>
      <c r="W11" s="21" t="inlineStr"/>
      <c r="X11" s="21" t="inlineStr"/>
      <c r="Y11" s="21" t="inlineStr"/>
      <c r="Z11" s="21" t="inlineStr"/>
      <c r="AA11" s="21" t="inlineStr"/>
      <c r="AB11" s="21" t="inlineStr"/>
      <c r="AC11" s="21" t="inlineStr"/>
      <c r="AD11" s="21" t="inlineStr"/>
      <c r="AE11" s="21" t="inlineStr"/>
      <c r="AF11" s="21" t="inlineStr"/>
      <c r="AG11" s="21" t="inlineStr"/>
      <c r="AH11" s="21" t="inlineStr"/>
      <c r="AI11" s="21" t="inlineStr"/>
      <c r="AJ11" s="22">
        <f>IF($A11=1,SUMPRODUCT(($E$6:$AI$6&lt;=$B$3)*(E11:AI11)),"")</f>
        <v/>
      </c>
    </row>
    <row r="12">
      <c r="A12" s="19">
        <f>Setup!D14</f>
        <v/>
      </c>
      <c r="B12" s="20">
        <f>Setup!A14</f>
        <v/>
      </c>
      <c r="C12" s="19">
        <f>Setup!B14</f>
        <v/>
      </c>
      <c r="D12" s="19">
        <f>Setup!E14</f>
        <v/>
      </c>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2">
        <f>IF($A12=1,SUMPRODUCT(($E$6:$AI$6&lt;=$B$3)*(E12:AI12)),"")</f>
        <v/>
      </c>
    </row>
    <row r="13">
      <c r="A13" s="19">
        <f>Setup!D15</f>
        <v/>
      </c>
      <c r="B13" s="20">
        <f>Setup!A15</f>
        <v/>
      </c>
      <c r="C13" s="19">
        <f>Setup!B15</f>
        <v/>
      </c>
      <c r="D13" s="19">
        <f>Setup!E15</f>
        <v/>
      </c>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c r="U13" s="21" t="inlineStr"/>
      <c r="V13" s="21" t="inlineStr"/>
      <c r="W13" s="21" t="inlineStr"/>
      <c r="X13" s="21" t="inlineStr"/>
      <c r="Y13" s="21" t="inlineStr"/>
      <c r="Z13" s="21" t="inlineStr"/>
      <c r="AA13" s="21" t="inlineStr"/>
      <c r="AB13" s="21" t="inlineStr"/>
      <c r="AC13" s="21" t="inlineStr"/>
      <c r="AD13" s="21" t="inlineStr"/>
      <c r="AE13" s="21" t="inlineStr"/>
      <c r="AF13" s="21" t="inlineStr"/>
      <c r="AG13" s="21" t="inlineStr"/>
      <c r="AH13" s="21" t="inlineStr"/>
      <c r="AI13" s="21" t="inlineStr"/>
      <c r="AJ13" s="22">
        <f>IF($A13=1,SUMPRODUCT(($E$6:$AI$6&lt;=$B$3)*(E13:AI13)),"")</f>
        <v/>
      </c>
    </row>
    <row r="14">
      <c r="A14" s="19">
        <f>Setup!D16</f>
        <v/>
      </c>
      <c r="B14" s="20">
        <f>Setup!A16</f>
        <v/>
      </c>
      <c r="C14" s="19">
        <f>Setup!B16</f>
        <v/>
      </c>
      <c r="D14" s="19">
        <f>Setup!E16</f>
        <v/>
      </c>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2">
        <f>IF($A14=1,SUMPRODUCT(($E$6:$AI$6&lt;=$B$3)*(E14:AI14)),"")</f>
        <v/>
      </c>
    </row>
    <row r="15">
      <c r="A15" s="19">
        <f>Setup!D17</f>
        <v/>
      </c>
      <c r="B15" s="20">
        <f>Setup!A17</f>
        <v/>
      </c>
      <c r="C15" s="19">
        <f>Setup!B17</f>
        <v/>
      </c>
      <c r="D15" s="19">
        <f>Setup!E17</f>
        <v/>
      </c>
      <c r="E15" s="21" t="inlineStr"/>
      <c r="F15" s="21" t="inlineStr"/>
      <c r="G15" s="21" t="inlineStr"/>
      <c r="H15" s="21" t="inlineStr"/>
      <c r="I15" s="21" t="inlineStr"/>
      <c r="J15" s="21" t="inlineStr"/>
      <c r="K15" s="21" t="inlineStr"/>
      <c r="L15" s="21" t="inlineStr"/>
      <c r="M15" s="21" t="inlineStr"/>
      <c r="N15" s="21" t="inlineStr"/>
      <c r="O15" s="21" t="inlineStr"/>
      <c r="P15" s="21" t="inlineStr"/>
      <c r="Q15" s="21" t="inlineStr"/>
      <c r="R15" s="21" t="inlineStr"/>
      <c r="S15" s="21" t="inlineStr"/>
      <c r="T15" s="21" t="inlineStr"/>
      <c r="U15" s="21" t="inlineStr"/>
      <c r="V15" s="21" t="inlineStr"/>
      <c r="W15" s="21" t="inlineStr"/>
      <c r="X15" s="21" t="inlineStr"/>
      <c r="Y15" s="21" t="inlineStr"/>
      <c r="Z15" s="21" t="inlineStr"/>
      <c r="AA15" s="21" t="inlineStr"/>
      <c r="AB15" s="21" t="inlineStr"/>
      <c r="AC15" s="21" t="inlineStr"/>
      <c r="AD15" s="21" t="inlineStr"/>
      <c r="AE15" s="21" t="inlineStr"/>
      <c r="AF15" s="21" t="inlineStr"/>
      <c r="AG15" s="21" t="inlineStr"/>
      <c r="AH15" s="21" t="inlineStr"/>
      <c r="AI15" s="21" t="inlineStr"/>
      <c r="AJ15" s="22">
        <f>IF($A15=1,SUMPRODUCT(($E$6:$AI$6&lt;=$B$3)*(E15:AI15)),"")</f>
        <v/>
      </c>
    </row>
    <row r="16">
      <c r="A16" s="19">
        <f>Setup!D18</f>
        <v/>
      </c>
      <c r="B16" s="20">
        <f>Setup!A18</f>
        <v/>
      </c>
      <c r="C16" s="19">
        <f>Setup!B18</f>
        <v/>
      </c>
      <c r="D16" s="19">
        <f>Setup!E18</f>
        <v/>
      </c>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2">
        <f>IF($A16=1,SUMPRODUCT(($E$6:$AI$6&lt;=$B$3)*(E16:AI16)),"")</f>
        <v/>
      </c>
    </row>
    <row r="17">
      <c r="A17" s="19">
        <f>Setup!D19</f>
        <v/>
      </c>
      <c r="B17" s="20">
        <f>Setup!A19</f>
        <v/>
      </c>
      <c r="C17" s="19">
        <f>Setup!B19</f>
        <v/>
      </c>
      <c r="D17" s="19">
        <f>Setup!E19</f>
        <v/>
      </c>
      <c r="E17" s="21" t="inlineStr"/>
      <c r="F17" s="21" t="inlineStr"/>
      <c r="G17" s="21" t="inlineStr"/>
      <c r="H17" s="21" t="inlineStr"/>
      <c r="I17" s="21" t="inlineStr"/>
      <c r="J17" s="21" t="inlineStr"/>
      <c r="K17" s="21" t="inlineStr"/>
      <c r="L17" s="21" t="inlineStr"/>
      <c r="M17" s="21" t="inlineStr"/>
      <c r="N17" s="21" t="inlineStr"/>
      <c r="O17" s="21" t="inlineStr"/>
      <c r="P17" s="21" t="inlineStr"/>
      <c r="Q17" s="21" t="inlineStr"/>
      <c r="R17" s="21" t="inlineStr"/>
      <c r="S17" s="21" t="inlineStr"/>
      <c r="T17" s="21" t="inlineStr"/>
      <c r="U17" s="21" t="inlineStr"/>
      <c r="V17" s="21" t="inlineStr"/>
      <c r="W17" s="21" t="inlineStr"/>
      <c r="X17" s="21" t="inlineStr"/>
      <c r="Y17" s="21" t="inlineStr"/>
      <c r="Z17" s="21" t="inlineStr"/>
      <c r="AA17" s="21" t="inlineStr"/>
      <c r="AB17" s="21" t="inlineStr"/>
      <c r="AC17" s="21" t="inlineStr"/>
      <c r="AD17" s="21" t="inlineStr"/>
      <c r="AE17" s="21" t="inlineStr"/>
      <c r="AF17" s="21" t="inlineStr"/>
      <c r="AG17" s="21" t="inlineStr"/>
      <c r="AH17" s="21" t="inlineStr"/>
      <c r="AI17" s="21" t="inlineStr"/>
      <c r="AJ17" s="22">
        <f>IF($A17=1,SUMPRODUCT(($E$6:$AI$6&lt;=$B$3)*(E17:AI17)),"")</f>
        <v/>
      </c>
    </row>
    <row r="18">
      <c r="A18" s="19">
        <f>Setup!D20</f>
        <v/>
      </c>
      <c r="B18" s="20">
        <f>Setup!A20</f>
        <v/>
      </c>
      <c r="C18" s="19">
        <f>Setup!B20</f>
        <v/>
      </c>
      <c r="D18" s="19">
        <f>Setup!E20</f>
        <v/>
      </c>
      <c r="E18" s="21" t="inlineStr"/>
      <c r="F18" s="21" t="inlineStr"/>
      <c r="G18" s="21" t="inlineStr"/>
      <c r="H18" s="21" t="inlineStr"/>
      <c r="I18" s="21" t="inlineStr"/>
      <c r="J18" s="21" t="inlineStr"/>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2">
        <f>IF($A18=1,SUMPRODUCT(($E$6:$AI$6&lt;=$B$3)*(E18:AI18)),"")</f>
        <v/>
      </c>
    </row>
    <row r="19">
      <c r="A19" s="19">
        <f>Setup!D21</f>
        <v/>
      </c>
      <c r="B19" s="20">
        <f>Setup!A21</f>
        <v/>
      </c>
      <c r="C19" s="19">
        <f>Setup!B21</f>
        <v/>
      </c>
      <c r="D19" s="19">
        <f>Setup!E21</f>
        <v/>
      </c>
      <c r="E19" s="21" t="inlineStr"/>
      <c r="F19" s="21" t="inlineStr"/>
      <c r="G19" s="21" t="inlineStr"/>
      <c r="H19" s="21" t="inlineStr"/>
      <c r="I19" s="21" t="inlineStr"/>
      <c r="J19" s="21" t="inlineStr"/>
      <c r="K19" s="21" t="inlineStr"/>
      <c r="L19" s="21" t="inlineStr"/>
      <c r="M19" s="21" t="inlineStr"/>
      <c r="N19" s="21" t="inlineStr"/>
      <c r="O19" s="21" t="inlineStr"/>
      <c r="P19" s="21" t="inlineStr"/>
      <c r="Q19" s="21" t="inlineStr"/>
      <c r="R19" s="21" t="inlineStr"/>
      <c r="S19" s="21" t="inlineStr"/>
      <c r="T19" s="21" t="inlineStr"/>
      <c r="U19" s="21" t="inlineStr"/>
      <c r="V19" s="21" t="inlineStr"/>
      <c r="W19" s="21" t="inlineStr"/>
      <c r="X19" s="21" t="inlineStr"/>
      <c r="Y19" s="21" t="inlineStr"/>
      <c r="Z19" s="21" t="inlineStr"/>
      <c r="AA19" s="21" t="inlineStr"/>
      <c r="AB19" s="21" t="inlineStr"/>
      <c r="AC19" s="21" t="inlineStr"/>
      <c r="AD19" s="21" t="inlineStr"/>
      <c r="AE19" s="21" t="inlineStr"/>
      <c r="AF19" s="21" t="inlineStr"/>
      <c r="AG19" s="21" t="inlineStr"/>
      <c r="AH19" s="21" t="inlineStr"/>
      <c r="AI19" s="21" t="inlineStr"/>
      <c r="AJ19" s="22">
        <f>IF($A19=1,SUMPRODUCT(($E$6:$AI$6&lt;=$B$3)*(E19:AI19)),"")</f>
        <v/>
      </c>
    </row>
    <row r="20">
      <c r="A20" s="19">
        <f>Setup!D22</f>
        <v/>
      </c>
      <c r="B20" s="20">
        <f>Setup!A22</f>
        <v/>
      </c>
      <c r="C20" s="19">
        <f>Setup!B22</f>
        <v/>
      </c>
      <c r="D20" s="19">
        <f>Setup!E22</f>
        <v/>
      </c>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2">
        <f>IF($A20=1,SUMPRODUCT(($E$6:$AI$6&lt;=$B$3)*(E20:AI20)),"")</f>
        <v/>
      </c>
    </row>
    <row r="21">
      <c r="A21" s="19">
        <f>Setup!D23</f>
        <v/>
      </c>
      <c r="B21" s="20">
        <f>Setup!A23</f>
        <v/>
      </c>
      <c r="C21" s="19">
        <f>Setup!B23</f>
        <v/>
      </c>
      <c r="D21" s="19">
        <f>Setup!E23</f>
        <v/>
      </c>
      <c r="E21" s="21" t="inlineStr"/>
      <c r="F21" s="21" t="inlineStr"/>
      <c r="G21" s="21" t="inlineStr"/>
      <c r="H21" s="21" t="inlineStr"/>
      <c r="I21" s="21" t="inlineStr"/>
      <c r="J21" s="21" t="inlineStr"/>
      <c r="K21" s="21" t="inlineStr"/>
      <c r="L21" s="21" t="inlineStr"/>
      <c r="M21" s="21" t="inlineStr"/>
      <c r="N21" s="21" t="inlineStr"/>
      <c r="O21" s="21" t="inlineStr"/>
      <c r="P21" s="21" t="inlineStr"/>
      <c r="Q21" s="21" t="inlineStr"/>
      <c r="R21" s="21" t="inlineStr"/>
      <c r="S21" s="21" t="inlineStr"/>
      <c r="T21" s="21" t="inlineStr"/>
      <c r="U21" s="21" t="inlineStr"/>
      <c r="V21" s="21" t="inlineStr"/>
      <c r="W21" s="21" t="inlineStr"/>
      <c r="X21" s="21" t="inlineStr"/>
      <c r="Y21" s="21" t="inlineStr"/>
      <c r="Z21" s="21" t="inlineStr"/>
      <c r="AA21" s="21" t="inlineStr"/>
      <c r="AB21" s="21" t="inlineStr"/>
      <c r="AC21" s="21" t="inlineStr"/>
      <c r="AD21" s="21" t="inlineStr"/>
      <c r="AE21" s="21" t="inlineStr"/>
      <c r="AF21" s="21" t="inlineStr"/>
      <c r="AG21" s="21" t="inlineStr"/>
      <c r="AH21" s="21" t="inlineStr"/>
      <c r="AI21" s="21" t="inlineStr"/>
      <c r="AJ21" s="22">
        <f>IF($A21=1,SUMPRODUCT(($E$6:$AI$6&lt;=$B$3)*(E21:AI21)),"")</f>
        <v/>
      </c>
    </row>
    <row r="22">
      <c r="A22" s="19">
        <f>Setup!D24</f>
        <v/>
      </c>
      <c r="B22" s="20">
        <f>Setup!A24</f>
        <v/>
      </c>
      <c r="C22" s="19">
        <f>Setup!B24</f>
        <v/>
      </c>
      <c r="D22" s="19">
        <f>Setup!E24</f>
        <v/>
      </c>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c r="Y22" s="21" t="inlineStr"/>
      <c r="Z22" s="21" t="inlineStr"/>
      <c r="AA22" s="21" t="inlineStr"/>
      <c r="AB22" s="21" t="inlineStr"/>
      <c r="AC22" s="21" t="inlineStr"/>
      <c r="AD22" s="21" t="inlineStr"/>
      <c r="AE22" s="21" t="inlineStr"/>
      <c r="AF22" s="21" t="inlineStr"/>
      <c r="AG22" s="21" t="inlineStr"/>
      <c r="AH22" s="21" t="inlineStr"/>
      <c r="AI22" s="21" t="inlineStr"/>
      <c r="AJ22" s="22">
        <f>IF($A22=1,SUMPRODUCT(($E$6:$AI$6&lt;=$B$3)*(E22:AI22)),"")</f>
        <v/>
      </c>
    </row>
    <row r="23">
      <c r="A23" s="19">
        <f>Setup!D25</f>
        <v/>
      </c>
      <c r="B23" s="20">
        <f>Setup!A25</f>
        <v/>
      </c>
      <c r="C23" s="19">
        <f>Setup!B25</f>
        <v/>
      </c>
      <c r="D23" s="19">
        <f>Setup!E25</f>
        <v/>
      </c>
      <c r="E23" s="21" t="inlineStr"/>
      <c r="F23" s="21" t="inlineStr"/>
      <c r="G23" s="21" t="inlineStr"/>
      <c r="H23" s="21" t="inlineStr"/>
      <c r="I23" s="21" t="inlineStr"/>
      <c r="J23" s="21" t="inlineStr"/>
      <c r="K23" s="21" t="inlineStr"/>
      <c r="L23" s="21" t="inlineStr"/>
      <c r="M23" s="21" t="inlineStr"/>
      <c r="N23" s="21" t="inlineStr"/>
      <c r="O23" s="21" t="inlineStr"/>
      <c r="P23" s="21" t="inlineStr"/>
      <c r="Q23" s="21" t="inlineStr"/>
      <c r="R23" s="21" t="inlineStr"/>
      <c r="S23" s="21" t="inlineStr"/>
      <c r="T23" s="21" t="inlineStr"/>
      <c r="U23" s="21" t="inlineStr"/>
      <c r="V23" s="21" t="inlineStr"/>
      <c r="W23" s="21" t="inlineStr"/>
      <c r="X23" s="21" t="inlineStr"/>
      <c r="Y23" s="21" t="inlineStr"/>
      <c r="Z23" s="21" t="inlineStr"/>
      <c r="AA23" s="21" t="inlineStr"/>
      <c r="AB23" s="21" t="inlineStr"/>
      <c r="AC23" s="21" t="inlineStr"/>
      <c r="AD23" s="21" t="inlineStr"/>
      <c r="AE23" s="21" t="inlineStr"/>
      <c r="AF23" s="21" t="inlineStr"/>
      <c r="AG23" s="21" t="inlineStr"/>
      <c r="AH23" s="21" t="inlineStr"/>
      <c r="AI23" s="21" t="inlineStr"/>
      <c r="AJ23" s="22">
        <f>IF($A23=1,SUMPRODUCT(($E$6:$AI$6&lt;=$B$3)*(E23:AI23)),"")</f>
        <v/>
      </c>
    </row>
    <row r="24">
      <c r="A24" s="19">
        <f>Setup!D26</f>
        <v/>
      </c>
      <c r="B24" s="20">
        <f>Setup!A26</f>
        <v/>
      </c>
      <c r="C24" s="19">
        <f>Setup!B26</f>
        <v/>
      </c>
      <c r="D24" s="19">
        <f>Setup!E26</f>
        <v/>
      </c>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c r="Y24" s="21" t="inlineStr"/>
      <c r="Z24" s="21" t="inlineStr"/>
      <c r="AA24" s="21" t="inlineStr"/>
      <c r="AB24" s="21" t="inlineStr"/>
      <c r="AC24" s="21" t="inlineStr"/>
      <c r="AD24" s="21" t="inlineStr"/>
      <c r="AE24" s="21" t="inlineStr"/>
      <c r="AF24" s="21" t="inlineStr"/>
      <c r="AG24" s="21" t="inlineStr"/>
      <c r="AH24" s="21" t="inlineStr"/>
      <c r="AI24" s="21" t="inlineStr"/>
      <c r="AJ24" s="22">
        <f>IF($A24=1,SUMPRODUCT(($E$6:$AI$6&lt;=$B$3)*(E24:AI24)),"")</f>
        <v/>
      </c>
    </row>
    <row r="25">
      <c r="A25" s="19">
        <f>Setup!D27</f>
        <v/>
      </c>
      <c r="B25" s="20">
        <f>Setup!A27</f>
        <v/>
      </c>
      <c r="C25" s="19">
        <f>Setup!B27</f>
        <v/>
      </c>
      <c r="D25" s="19">
        <f>Setup!E27</f>
        <v/>
      </c>
      <c r="E25" s="21" t="inlineStr"/>
      <c r="F25" s="21" t="inlineStr"/>
      <c r="G25" s="21" t="inlineStr"/>
      <c r="H25" s="21" t="inlineStr"/>
      <c r="I25" s="21" t="inlineStr"/>
      <c r="J25" s="21" t="inlineStr"/>
      <c r="K25" s="21" t="inlineStr"/>
      <c r="L25" s="21" t="inlineStr"/>
      <c r="M25" s="21" t="inlineStr"/>
      <c r="N25" s="21" t="inlineStr"/>
      <c r="O25" s="21" t="inlineStr"/>
      <c r="P25" s="21" t="inlineStr"/>
      <c r="Q25" s="21" t="inlineStr"/>
      <c r="R25" s="21" t="inlineStr"/>
      <c r="S25" s="21" t="inlineStr"/>
      <c r="T25" s="21" t="inlineStr"/>
      <c r="U25" s="21" t="inlineStr"/>
      <c r="V25" s="21" t="inlineStr"/>
      <c r="W25" s="21" t="inlineStr"/>
      <c r="X25" s="21" t="inlineStr"/>
      <c r="Y25" s="21" t="inlineStr"/>
      <c r="Z25" s="21" t="inlineStr"/>
      <c r="AA25" s="21" t="inlineStr"/>
      <c r="AB25" s="21" t="inlineStr"/>
      <c r="AC25" s="21" t="inlineStr"/>
      <c r="AD25" s="21" t="inlineStr"/>
      <c r="AE25" s="21" t="inlineStr"/>
      <c r="AF25" s="21" t="inlineStr"/>
      <c r="AG25" s="21" t="inlineStr"/>
      <c r="AH25" s="21" t="inlineStr"/>
      <c r="AI25" s="21" t="inlineStr"/>
      <c r="AJ25" s="22">
        <f>IF($A25=1,SUMPRODUCT(($E$6:$AI$6&lt;=$B$3)*(E25:AI25)),"")</f>
        <v/>
      </c>
    </row>
    <row r="26">
      <c r="A26" s="19">
        <f>Setup!D28</f>
        <v/>
      </c>
      <c r="B26" s="20">
        <f>Setup!A28</f>
        <v/>
      </c>
      <c r="C26" s="19">
        <f>Setup!B28</f>
        <v/>
      </c>
      <c r="D26" s="19">
        <f>Setup!E28</f>
        <v/>
      </c>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2">
        <f>IF($A26=1,SUMPRODUCT(($E$6:$AI$6&lt;=$B$3)*(E26:AI26)),"")</f>
        <v/>
      </c>
    </row>
    <row r="29">
      <c r="A29" s="23" t="inlineStr">
        <is>
          <t>Daily summary</t>
        </is>
      </c>
    </row>
    <row r="30">
      <c r="A30" s="8" t="inlineStr">
        <is>
          <t>Good habits done</t>
        </is>
      </c>
      <c r="E30" s="19">
        <f>SUMPRODUCT(($A$7:$A$26=1)*($C$7:$C$26="Good")*(E7:E26))</f>
        <v/>
      </c>
      <c r="F30" s="19">
        <f>SUMPRODUCT(($A$7:$A$26=1)*($C$7:$C$26="Good")*(F7:F26))</f>
        <v/>
      </c>
      <c r="G30" s="19">
        <f>SUMPRODUCT(($A$7:$A$26=1)*($C$7:$C$26="Good")*(G7:G26))</f>
        <v/>
      </c>
      <c r="H30" s="19">
        <f>SUMPRODUCT(($A$7:$A$26=1)*($C$7:$C$26="Good")*(H7:H26))</f>
        <v/>
      </c>
      <c r="I30" s="19">
        <f>SUMPRODUCT(($A$7:$A$26=1)*($C$7:$C$26="Good")*(I7:I26))</f>
        <v/>
      </c>
      <c r="J30" s="19">
        <f>SUMPRODUCT(($A$7:$A$26=1)*($C$7:$C$26="Good")*(J7:J26))</f>
        <v/>
      </c>
      <c r="K30" s="19">
        <f>SUMPRODUCT(($A$7:$A$26=1)*($C$7:$C$26="Good")*(K7:K26))</f>
        <v/>
      </c>
      <c r="L30" s="19">
        <f>SUMPRODUCT(($A$7:$A$26=1)*($C$7:$C$26="Good")*(L7:L26))</f>
        <v/>
      </c>
      <c r="M30" s="19">
        <f>SUMPRODUCT(($A$7:$A$26=1)*($C$7:$C$26="Good")*(M7:M26))</f>
        <v/>
      </c>
      <c r="N30" s="19">
        <f>SUMPRODUCT(($A$7:$A$26=1)*($C$7:$C$26="Good")*(N7:N26))</f>
        <v/>
      </c>
      <c r="O30" s="19">
        <f>SUMPRODUCT(($A$7:$A$26=1)*($C$7:$C$26="Good")*(O7:O26))</f>
        <v/>
      </c>
      <c r="P30" s="19">
        <f>SUMPRODUCT(($A$7:$A$26=1)*($C$7:$C$26="Good")*(P7:P26))</f>
        <v/>
      </c>
      <c r="Q30" s="19">
        <f>SUMPRODUCT(($A$7:$A$26=1)*($C$7:$C$26="Good")*(Q7:Q26))</f>
        <v/>
      </c>
      <c r="R30" s="19">
        <f>SUMPRODUCT(($A$7:$A$26=1)*($C$7:$C$26="Good")*(R7:R26))</f>
        <v/>
      </c>
      <c r="S30" s="19">
        <f>SUMPRODUCT(($A$7:$A$26=1)*($C$7:$C$26="Good")*(S7:S26))</f>
        <v/>
      </c>
      <c r="T30" s="19">
        <f>SUMPRODUCT(($A$7:$A$26=1)*($C$7:$C$26="Good")*(T7:T26))</f>
        <v/>
      </c>
      <c r="U30" s="19">
        <f>SUMPRODUCT(($A$7:$A$26=1)*($C$7:$C$26="Good")*(U7:U26))</f>
        <v/>
      </c>
      <c r="V30" s="19">
        <f>SUMPRODUCT(($A$7:$A$26=1)*($C$7:$C$26="Good")*(V7:V26))</f>
        <v/>
      </c>
      <c r="W30" s="19">
        <f>SUMPRODUCT(($A$7:$A$26=1)*($C$7:$C$26="Good")*(W7:W26))</f>
        <v/>
      </c>
      <c r="X30" s="19">
        <f>SUMPRODUCT(($A$7:$A$26=1)*($C$7:$C$26="Good")*(X7:X26))</f>
        <v/>
      </c>
      <c r="Y30" s="19">
        <f>SUMPRODUCT(($A$7:$A$26=1)*($C$7:$C$26="Good")*(Y7:Y26))</f>
        <v/>
      </c>
      <c r="Z30" s="19">
        <f>SUMPRODUCT(($A$7:$A$26=1)*($C$7:$C$26="Good")*(Z7:Z26))</f>
        <v/>
      </c>
      <c r="AA30" s="19">
        <f>SUMPRODUCT(($A$7:$A$26=1)*($C$7:$C$26="Good")*(AA7:AA26))</f>
        <v/>
      </c>
      <c r="AB30" s="19">
        <f>SUMPRODUCT(($A$7:$A$26=1)*($C$7:$C$26="Good")*(AB7:AB26))</f>
        <v/>
      </c>
      <c r="AC30" s="19">
        <f>SUMPRODUCT(($A$7:$A$26=1)*($C$7:$C$26="Good")*(AC7:AC26))</f>
        <v/>
      </c>
      <c r="AD30" s="19">
        <f>SUMPRODUCT(($A$7:$A$26=1)*($C$7:$C$26="Good")*(AD7:AD26))</f>
        <v/>
      </c>
      <c r="AE30" s="19">
        <f>SUMPRODUCT(($A$7:$A$26=1)*($C$7:$C$26="Good")*(AE7:AE26))</f>
        <v/>
      </c>
      <c r="AF30" s="19">
        <f>SUMPRODUCT(($A$7:$A$26=1)*($C$7:$C$26="Good")*(AF7:AF26))</f>
        <v/>
      </c>
      <c r="AG30" s="19">
        <f>SUMPRODUCT(($A$7:$A$26=1)*($C$7:$C$26="Good")*(AG7:AG26))</f>
        <v/>
      </c>
      <c r="AH30" s="19">
        <f>SUMPRODUCT(($A$7:$A$26=1)*($C$7:$C$26="Good")*(AH7:AH26))</f>
        <v/>
      </c>
      <c r="AI30" s="19">
        <f>SUMPRODUCT(($A$7:$A$26=1)*($C$7:$C$26="Good")*(AI7:AI26))</f>
        <v/>
      </c>
      <c r="AL30" s="24" t="inlineStr">
        <is>
          <t>Monthly totals</t>
        </is>
      </c>
    </row>
    <row r="31">
      <c r="A31" s="8" t="inlineStr">
        <is>
          <t>Bad habits happened</t>
        </is>
      </c>
      <c r="E31" s="19">
        <f>SUMPRODUCT(($A$7:$A$26=1)*($C$7:$C$26="Bad")*(E7:E26))</f>
        <v/>
      </c>
      <c r="F31" s="19">
        <f>SUMPRODUCT(($A$7:$A$26=1)*($C$7:$C$26="Bad")*(F7:F26))</f>
        <v/>
      </c>
      <c r="G31" s="19">
        <f>SUMPRODUCT(($A$7:$A$26=1)*($C$7:$C$26="Bad")*(G7:G26))</f>
        <v/>
      </c>
      <c r="H31" s="19">
        <f>SUMPRODUCT(($A$7:$A$26=1)*($C$7:$C$26="Bad")*(H7:H26))</f>
        <v/>
      </c>
      <c r="I31" s="19">
        <f>SUMPRODUCT(($A$7:$A$26=1)*($C$7:$C$26="Bad")*(I7:I26))</f>
        <v/>
      </c>
      <c r="J31" s="19">
        <f>SUMPRODUCT(($A$7:$A$26=1)*($C$7:$C$26="Bad")*(J7:J26))</f>
        <v/>
      </c>
      <c r="K31" s="19">
        <f>SUMPRODUCT(($A$7:$A$26=1)*($C$7:$C$26="Bad")*(K7:K26))</f>
        <v/>
      </c>
      <c r="L31" s="19">
        <f>SUMPRODUCT(($A$7:$A$26=1)*($C$7:$C$26="Bad")*(L7:L26))</f>
        <v/>
      </c>
      <c r="M31" s="19">
        <f>SUMPRODUCT(($A$7:$A$26=1)*($C$7:$C$26="Bad")*(M7:M26))</f>
        <v/>
      </c>
      <c r="N31" s="19">
        <f>SUMPRODUCT(($A$7:$A$26=1)*($C$7:$C$26="Bad")*(N7:N26))</f>
        <v/>
      </c>
      <c r="O31" s="19">
        <f>SUMPRODUCT(($A$7:$A$26=1)*($C$7:$C$26="Bad")*(O7:O26))</f>
        <v/>
      </c>
      <c r="P31" s="19">
        <f>SUMPRODUCT(($A$7:$A$26=1)*($C$7:$C$26="Bad")*(P7:P26))</f>
        <v/>
      </c>
      <c r="Q31" s="19">
        <f>SUMPRODUCT(($A$7:$A$26=1)*($C$7:$C$26="Bad")*(Q7:Q26))</f>
        <v/>
      </c>
      <c r="R31" s="19">
        <f>SUMPRODUCT(($A$7:$A$26=1)*($C$7:$C$26="Bad")*(R7:R26))</f>
        <v/>
      </c>
      <c r="S31" s="19">
        <f>SUMPRODUCT(($A$7:$A$26=1)*($C$7:$C$26="Bad")*(S7:S26))</f>
        <v/>
      </c>
      <c r="T31" s="19">
        <f>SUMPRODUCT(($A$7:$A$26=1)*($C$7:$C$26="Bad")*(T7:T26))</f>
        <v/>
      </c>
      <c r="U31" s="19">
        <f>SUMPRODUCT(($A$7:$A$26=1)*($C$7:$C$26="Bad")*(U7:U26))</f>
        <v/>
      </c>
      <c r="V31" s="19">
        <f>SUMPRODUCT(($A$7:$A$26=1)*($C$7:$C$26="Bad")*(V7:V26))</f>
        <v/>
      </c>
      <c r="W31" s="19">
        <f>SUMPRODUCT(($A$7:$A$26=1)*($C$7:$C$26="Bad")*(W7:W26))</f>
        <v/>
      </c>
      <c r="X31" s="19">
        <f>SUMPRODUCT(($A$7:$A$26=1)*($C$7:$C$26="Bad")*(X7:X26))</f>
        <v/>
      </c>
      <c r="Y31" s="19">
        <f>SUMPRODUCT(($A$7:$A$26=1)*($C$7:$C$26="Bad")*(Y7:Y26))</f>
        <v/>
      </c>
      <c r="Z31" s="19">
        <f>SUMPRODUCT(($A$7:$A$26=1)*($C$7:$C$26="Bad")*(Z7:Z26))</f>
        <v/>
      </c>
      <c r="AA31" s="19">
        <f>SUMPRODUCT(($A$7:$A$26=1)*($C$7:$C$26="Bad")*(AA7:AA26))</f>
        <v/>
      </c>
      <c r="AB31" s="19">
        <f>SUMPRODUCT(($A$7:$A$26=1)*($C$7:$C$26="Bad")*(AB7:AB26))</f>
        <v/>
      </c>
      <c r="AC31" s="19">
        <f>SUMPRODUCT(($A$7:$A$26=1)*($C$7:$C$26="Bad")*(AC7:AC26))</f>
        <v/>
      </c>
      <c r="AD31" s="19">
        <f>SUMPRODUCT(($A$7:$A$26=1)*($C$7:$C$26="Bad")*(AD7:AD26))</f>
        <v/>
      </c>
      <c r="AE31" s="19">
        <f>SUMPRODUCT(($A$7:$A$26=1)*($C$7:$C$26="Bad")*(AE7:AE26))</f>
        <v/>
      </c>
      <c r="AF31" s="19">
        <f>SUMPRODUCT(($A$7:$A$26=1)*($C$7:$C$26="Bad")*(AF7:AF26))</f>
        <v/>
      </c>
      <c r="AG31" s="19">
        <f>SUMPRODUCT(($A$7:$A$26=1)*($C$7:$C$26="Bad")*(AG7:AG26))</f>
        <v/>
      </c>
      <c r="AH31" s="19">
        <f>SUMPRODUCT(($A$7:$A$26=1)*($C$7:$C$26="Bad")*(AH7:AH26))</f>
        <v/>
      </c>
      <c r="AI31" s="19">
        <f>SUMPRODUCT(($A$7:$A$26=1)*($C$7:$C$26="Bad")*(AI7:AI26))</f>
        <v/>
      </c>
      <c r="AL31" s="10" t="inlineStr">
        <is>
          <t>Good done</t>
        </is>
      </c>
      <c r="AM31" s="25">
        <f>SUMPRODUCT(($E$6:$AI$6&lt;=$B$3)*(E30:AI30))</f>
        <v/>
      </c>
    </row>
    <row r="32">
      <c r="A32" s="8" t="inlineStr">
        <is>
          <t>Net score</t>
        </is>
      </c>
      <c r="E32" s="19">
        <f>SUMPRODUCT(($A$7:$A$26=1)*($D$7:$D$26)*(E7:E26))</f>
        <v/>
      </c>
      <c r="F32" s="19">
        <f>SUMPRODUCT(($A$7:$A$26=1)*($D$7:$D$26)*(F7:F26))</f>
        <v/>
      </c>
      <c r="G32" s="19">
        <f>SUMPRODUCT(($A$7:$A$26=1)*($D$7:$D$26)*(G7:G26))</f>
        <v/>
      </c>
      <c r="H32" s="19">
        <f>SUMPRODUCT(($A$7:$A$26=1)*($D$7:$D$26)*(H7:H26))</f>
        <v/>
      </c>
      <c r="I32" s="19">
        <f>SUMPRODUCT(($A$7:$A$26=1)*($D$7:$D$26)*(I7:I26))</f>
        <v/>
      </c>
      <c r="J32" s="19">
        <f>SUMPRODUCT(($A$7:$A$26=1)*($D$7:$D$26)*(J7:J26))</f>
        <v/>
      </c>
      <c r="K32" s="19">
        <f>SUMPRODUCT(($A$7:$A$26=1)*($D$7:$D$26)*(K7:K26))</f>
        <v/>
      </c>
      <c r="L32" s="19">
        <f>SUMPRODUCT(($A$7:$A$26=1)*($D$7:$D$26)*(L7:L26))</f>
        <v/>
      </c>
      <c r="M32" s="19">
        <f>SUMPRODUCT(($A$7:$A$26=1)*($D$7:$D$26)*(M7:M26))</f>
        <v/>
      </c>
      <c r="N32" s="19">
        <f>SUMPRODUCT(($A$7:$A$26=1)*($D$7:$D$26)*(N7:N26))</f>
        <v/>
      </c>
      <c r="O32" s="19">
        <f>SUMPRODUCT(($A$7:$A$26=1)*($D$7:$D$26)*(O7:O26))</f>
        <v/>
      </c>
      <c r="P32" s="19">
        <f>SUMPRODUCT(($A$7:$A$26=1)*($D$7:$D$26)*(P7:P26))</f>
        <v/>
      </c>
      <c r="Q32" s="19">
        <f>SUMPRODUCT(($A$7:$A$26=1)*($D$7:$D$26)*(Q7:Q26))</f>
        <v/>
      </c>
      <c r="R32" s="19">
        <f>SUMPRODUCT(($A$7:$A$26=1)*($D$7:$D$26)*(R7:R26))</f>
        <v/>
      </c>
      <c r="S32" s="19">
        <f>SUMPRODUCT(($A$7:$A$26=1)*($D$7:$D$26)*(S7:S26))</f>
        <v/>
      </c>
      <c r="T32" s="19">
        <f>SUMPRODUCT(($A$7:$A$26=1)*($D$7:$D$26)*(T7:T26))</f>
        <v/>
      </c>
      <c r="U32" s="19">
        <f>SUMPRODUCT(($A$7:$A$26=1)*($D$7:$D$26)*(U7:U26))</f>
        <v/>
      </c>
      <c r="V32" s="19">
        <f>SUMPRODUCT(($A$7:$A$26=1)*($D$7:$D$26)*(V7:V26))</f>
        <v/>
      </c>
      <c r="W32" s="19">
        <f>SUMPRODUCT(($A$7:$A$26=1)*($D$7:$D$26)*(W7:W26))</f>
        <v/>
      </c>
      <c r="X32" s="19">
        <f>SUMPRODUCT(($A$7:$A$26=1)*($D$7:$D$26)*(X7:X26))</f>
        <v/>
      </c>
      <c r="Y32" s="19">
        <f>SUMPRODUCT(($A$7:$A$26=1)*($D$7:$D$26)*(Y7:Y26))</f>
        <v/>
      </c>
      <c r="Z32" s="19">
        <f>SUMPRODUCT(($A$7:$A$26=1)*($D$7:$D$26)*(Z7:Z26))</f>
        <v/>
      </c>
      <c r="AA32" s="19">
        <f>SUMPRODUCT(($A$7:$A$26=1)*($D$7:$D$26)*(AA7:AA26))</f>
        <v/>
      </c>
      <c r="AB32" s="19">
        <f>SUMPRODUCT(($A$7:$A$26=1)*($D$7:$D$26)*(AB7:AB26))</f>
        <v/>
      </c>
      <c r="AC32" s="19">
        <f>SUMPRODUCT(($A$7:$A$26=1)*($D$7:$D$26)*(AC7:AC26))</f>
        <v/>
      </c>
      <c r="AD32" s="19">
        <f>SUMPRODUCT(($A$7:$A$26=1)*($D$7:$D$26)*(AD7:AD26))</f>
        <v/>
      </c>
      <c r="AE32" s="19">
        <f>SUMPRODUCT(($A$7:$A$26=1)*($D$7:$D$26)*(AE7:AE26))</f>
        <v/>
      </c>
      <c r="AF32" s="19">
        <f>SUMPRODUCT(($A$7:$A$26=1)*($D$7:$D$26)*(AF7:AF26))</f>
        <v/>
      </c>
      <c r="AG32" s="19">
        <f>SUMPRODUCT(($A$7:$A$26=1)*($D$7:$D$26)*(AG7:AG26))</f>
        <v/>
      </c>
      <c r="AH32" s="19">
        <f>SUMPRODUCT(($A$7:$A$26=1)*($D$7:$D$26)*(AH7:AH26))</f>
        <v/>
      </c>
      <c r="AI32" s="19">
        <f>SUMPRODUCT(($A$7:$A$26=1)*($D$7:$D$26)*(AI7:AI26))</f>
        <v/>
      </c>
      <c r="AL32" s="10" t="inlineStr">
        <is>
          <t>Bad happened</t>
        </is>
      </c>
      <c r="AM32" s="25">
        <f>SUMPRODUCT(($E$6:$AI$6&lt;=$B$3)*(E31:AI31))</f>
        <v/>
      </c>
    </row>
    <row r="33">
      <c r="A33" s="8" t="inlineStr">
        <is>
          <t>Completion % (Good only)</t>
        </is>
      </c>
      <c r="E33" s="26">
        <f>IF(SUMPRODUCT(($A$7:$A$26=1)*($C$7:$C$26="Good"))=0,"",SUMPRODUCT(($A$7:$A$26=1)*($C$7:$C$26="Good")*(E7:E26))/SUMPRODUCT(($A$7:$A$26=1)*($C$7:$C$26="Good")))</f>
        <v/>
      </c>
      <c r="F33" s="26">
        <f>IF(SUMPRODUCT(($A$7:$A$26=1)*($C$7:$C$26="Good"))=0,"",SUMPRODUCT(($A$7:$A$26=1)*($C$7:$C$26="Good")*(F7:F26))/SUMPRODUCT(($A$7:$A$26=1)*($C$7:$C$26="Good")))</f>
        <v/>
      </c>
      <c r="G33" s="26">
        <f>IF(SUMPRODUCT(($A$7:$A$26=1)*($C$7:$C$26="Good"))=0,"",SUMPRODUCT(($A$7:$A$26=1)*($C$7:$C$26="Good")*(G7:G26))/SUMPRODUCT(($A$7:$A$26=1)*($C$7:$C$26="Good")))</f>
        <v/>
      </c>
      <c r="H33" s="26">
        <f>IF(SUMPRODUCT(($A$7:$A$26=1)*($C$7:$C$26="Good"))=0,"",SUMPRODUCT(($A$7:$A$26=1)*($C$7:$C$26="Good")*(H7:H26))/SUMPRODUCT(($A$7:$A$26=1)*($C$7:$C$26="Good")))</f>
        <v/>
      </c>
      <c r="I33" s="26">
        <f>IF(SUMPRODUCT(($A$7:$A$26=1)*($C$7:$C$26="Good"))=0,"",SUMPRODUCT(($A$7:$A$26=1)*($C$7:$C$26="Good")*(I7:I26))/SUMPRODUCT(($A$7:$A$26=1)*($C$7:$C$26="Good")))</f>
        <v/>
      </c>
      <c r="J33" s="26">
        <f>IF(SUMPRODUCT(($A$7:$A$26=1)*($C$7:$C$26="Good"))=0,"",SUMPRODUCT(($A$7:$A$26=1)*($C$7:$C$26="Good")*(J7:J26))/SUMPRODUCT(($A$7:$A$26=1)*($C$7:$C$26="Good")))</f>
        <v/>
      </c>
      <c r="K33" s="26">
        <f>IF(SUMPRODUCT(($A$7:$A$26=1)*($C$7:$C$26="Good"))=0,"",SUMPRODUCT(($A$7:$A$26=1)*($C$7:$C$26="Good")*(K7:K26))/SUMPRODUCT(($A$7:$A$26=1)*($C$7:$C$26="Good")))</f>
        <v/>
      </c>
      <c r="L33" s="26">
        <f>IF(SUMPRODUCT(($A$7:$A$26=1)*($C$7:$C$26="Good"))=0,"",SUMPRODUCT(($A$7:$A$26=1)*($C$7:$C$26="Good")*(L7:L26))/SUMPRODUCT(($A$7:$A$26=1)*($C$7:$C$26="Good")))</f>
        <v/>
      </c>
      <c r="M33" s="26">
        <f>IF(SUMPRODUCT(($A$7:$A$26=1)*($C$7:$C$26="Good"))=0,"",SUMPRODUCT(($A$7:$A$26=1)*($C$7:$C$26="Good")*(M7:M26))/SUMPRODUCT(($A$7:$A$26=1)*($C$7:$C$26="Good")))</f>
        <v/>
      </c>
      <c r="N33" s="26">
        <f>IF(SUMPRODUCT(($A$7:$A$26=1)*($C$7:$C$26="Good"))=0,"",SUMPRODUCT(($A$7:$A$26=1)*($C$7:$C$26="Good")*(N7:N26))/SUMPRODUCT(($A$7:$A$26=1)*($C$7:$C$26="Good")))</f>
        <v/>
      </c>
      <c r="O33" s="26">
        <f>IF(SUMPRODUCT(($A$7:$A$26=1)*($C$7:$C$26="Good"))=0,"",SUMPRODUCT(($A$7:$A$26=1)*($C$7:$C$26="Good")*(O7:O26))/SUMPRODUCT(($A$7:$A$26=1)*($C$7:$C$26="Good")))</f>
        <v/>
      </c>
      <c r="P33" s="26">
        <f>IF(SUMPRODUCT(($A$7:$A$26=1)*($C$7:$C$26="Good"))=0,"",SUMPRODUCT(($A$7:$A$26=1)*($C$7:$C$26="Good")*(P7:P26))/SUMPRODUCT(($A$7:$A$26=1)*($C$7:$C$26="Good")))</f>
        <v/>
      </c>
      <c r="Q33" s="26">
        <f>IF(SUMPRODUCT(($A$7:$A$26=1)*($C$7:$C$26="Good"))=0,"",SUMPRODUCT(($A$7:$A$26=1)*($C$7:$C$26="Good")*(Q7:Q26))/SUMPRODUCT(($A$7:$A$26=1)*($C$7:$C$26="Good")))</f>
        <v/>
      </c>
      <c r="R33" s="26">
        <f>IF(SUMPRODUCT(($A$7:$A$26=1)*($C$7:$C$26="Good"))=0,"",SUMPRODUCT(($A$7:$A$26=1)*($C$7:$C$26="Good")*(R7:R26))/SUMPRODUCT(($A$7:$A$26=1)*($C$7:$C$26="Good")))</f>
        <v/>
      </c>
      <c r="S33" s="26">
        <f>IF(SUMPRODUCT(($A$7:$A$26=1)*($C$7:$C$26="Good"))=0,"",SUMPRODUCT(($A$7:$A$26=1)*($C$7:$C$26="Good")*(S7:S26))/SUMPRODUCT(($A$7:$A$26=1)*($C$7:$C$26="Good")))</f>
        <v/>
      </c>
      <c r="T33" s="26">
        <f>IF(SUMPRODUCT(($A$7:$A$26=1)*($C$7:$C$26="Good"))=0,"",SUMPRODUCT(($A$7:$A$26=1)*($C$7:$C$26="Good")*(T7:T26))/SUMPRODUCT(($A$7:$A$26=1)*($C$7:$C$26="Good")))</f>
        <v/>
      </c>
      <c r="U33" s="26">
        <f>IF(SUMPRODUCT(($A$7:$A$26=1)*($C$7:$C$26="Good"))=0,"",SUMPRODUCT(($A$7:$A$26=1)*($C$7:$C$26="Good")*(U7:U26))/SUMPRODUCT(($A$7:$A$26=1)*($C$7:$C$26="Good")))</f>
        <v/>
      </c>
      <c r="V33" s="26">
        <f>IF(SUMPRODUCT(($A$7:$A$26=1)*($C$7:$C$26="Good"))=0,"",SUMPRODUCT(($A$7:$A$26=1)*($C$7:$C$26="Good")*(V7:V26))/SUMPRODUCT(($A$7:$A$26=1)*($C$7:$C$26="Good")))</f>
        <v/>
      </c>
      <c r="W33" s="26">
        <f>IF(SUMPRODUCT(($A$7:$A$26=1)*($C$7:$C$26="Good"))=0,"",SUMPRODUCT(($A$7:$A$26=1)*($C$7:$C$26="Good")*(W7:W26))/SUMPRODUCT(($A$7:$A$26=1)*($C$7:$C$26="Good")))</f>
        <v/>
      </c>
      <c r="X33" s="26">
        <f>IF(SUMPRODUCT(($A$7:$A$26=1)*($C$7:$C$26="Good"))=0,"",SUMPRODUCT(($A$7:$A$26=1)*($C$7:$C$26="Good")*(X7:X26))/SUMPRODUCT(($A$7:$A$26=1)*($C$7:$C$26="Good")))</f>
        <v/>
      </c>
      <c r="Y33" s="26">
        <f>IF(SUMPRODUCT(($A$7:$A$26=1)*($C$7:$C$26="Good"))=0,"",SUMPRODUCT(($A$7:$A$26=1)*($C$7:$C$26="Good")*(Y7:Y26))/SUMPRODUCT(($A$7:$A$26=1)*($C$7:$C$26="Good")))</f>
        <v/>
      </c>
      <c r="Z33" s="26">
        <f>IF(SUMPRODUCT(($A$7:$A$26=1)*($C$7:$C$26="Good"))=0,"",SUMPRODUCT(($A$7:$A$26=1)*($C$7:$C$26="Good")*(Z7:Z26))/SUMPRODUCT(($A$7:$A$26=1)*($C$7:$C$26="Good")))</f>
        <v/>
      </c>
      <c r="AA33" s="26">
        <f>IF(SUMPRODUCT(($A$7:$A$26=1)*($C$7:$C$26="Good"))=0,"",SUMPRODUCT(($A$7:$A$26=1)*($C$7:$C$26="Good")*(AA7:AA26))/SUMPRODUCT(($A$7:$A$26=1)*($C$7:$C$26="Good")))</f>
        <v/>
      </c>
      <c r="AB33" s="26">
        <f>IF(SUMPRODUCT(($A$7:$A$26=1)*($C$7:$C$26="Good"))=0,"",SUMPRODUCT(($A$7:$A$26=1)*($C$7:$C$26="Good")*(AB7:AB26))/SUMPRODUCT(($A$7:$A$26=1)*($C$7:$C$26="Good")))</f>
        <v/>
      </c>
      <c r="AC33" s="26">
        <f>IF(SUMPRODUCT(($A$7:$A$26=1)*($C$7:$C$26="Good"))=0,"",SUMPRODUCT(($A$7:$A$26=1)*($C$7:$C$26="Good")*(AC7:AC26))/SUMPRODUCT(($A$7:$A$26=1)*($C$7:$C$26="Good")))</f>
        <v/>
      </c>
      <c r="AD33" s="26">
        <f>IF(SUMPRODUCT(($A$7:$A$26=1)*($C$7:$C$26="Good"))=0,"",SUMPRODUCT(($A$7:$A$26=1)*($C$7:$C$26="Good")*(AD7:AD26))/SUMPRODUCT(($A$7:$A$26=1)*($C$7:$C$26="Good")))</f>
        <v/>
      </c>
      <c r="AE33" s="26">
        <f>IF(SUMPRODUCT(($A$7:$A$26=1)*($C$7:$C$26="Good"))=0,"",SUMPRODUCT(($A$7:$A$26=1)*($C$7:$C$26="Good")*(AE7:AE26))/SUMPRODUCT(($A$7:$A$26=1)*($C$7:$C$26="Good")))</f>
        <v/>
      </c>
      <c r="AF33" s="26">
        <f>IF(SUMPRODUCT(($A$7:$A$26=1)*($C$7:$C$26="Good"))=0,"",SUMPRODUCT(($A$7:$A$26=1)*($C$7:$C$26="Good")*(AF7:AF26))/SUMPRODUCT(($A$7:$A$26=1)*($C$7:$C$26="Good")))</f>
        <v/>
      </c>
      <c r="AG33" s="26">
        <f>IF(SUMPRODUCT(($A$7:$A$26=1)*($C$7:$C$26="Good"))=0,"",SUMPRODUCT(($A$7:$A$26=1)*($C$7:$C$26="Good")*(AG7:AG26))/SUMPRODUCT(($A$7:$A$26=1)*($C$7:$C$26="Good")))</f>
        <v/>
      </c>
      <c r="AH33" s="26">
        <f>IF(SUMPRODUCT(($A$7:$A$26=1)*($C$7:$C$26="Good"))=0,"",SUMPRODUCT(($A$7:$A$26=1)*($C$7:$C$26="Good")*(AH7:AH26))/SUMPRODUCT(($A$7:$A$26=1)*($C$7:$C$26="Good")))</f>
        <v/>
      </c>
      <c r="AI33" s="26">
        <f>IF(SUMPRODUCT(($A$7:$A$26=1)*($C$7:$C$26="Good"))=0,"",SUMPRODUCT(($A$7:$A$26=1)*($C$7:$C$26="Good")*(AI7:AI26))/SUMPRODUCT(($A$7:$A$26=1)*($C$7:$C$26="Good")))</f>
        <v/>
      </c>
      <c r="AL33" s="10" t="inlineStr">
        <is>
          <t>Net score</t>
        </is>
      </c>
      <c r="AM33" s="25">
        <f>SUMPRODUCT(($E$6:$AI$6&lt;=$B$3)*(E32:AI32))</f>
        <v/>
      </c>
    </row>
    <row r="34">
      <c r="AL34" s="10" t="inlineStr">
        <is>
          <t>Avg completion (Good)</t>
        </is>
      </c>
      <c r="AM34" s="27">
        <f>AVERAGEIF($E$6:$AI$6,"&lt;="&amp;$B$3,E33:AI33)</f>
        <v/>
      </c>
    </row>
  </sheetData>
  <mergeCells count="6">
    <mergeCell ref="A31:D31"/>
    <mergeCell ref="A1:AI1"/>
    <mergeCell ref="A30:D30"/>
    <mergeCell ref="A29:D29"/>
    <mergeCell ref="A33:D33"/>
    <mergeCell ref="A32:D32"/>
  </mergeCells>
  <conditionalFormatting sqref="E7:AI26">
    <cfRule type="expression" priority="1" dxfId="0">
      <formula>E7=1</formula>
    </cfRule>
  </conditionalFormatting>
  <conditionalFormatting sqref="E5:E33">
    <cfRule type="expression" priority="2" dxfId="1">
      <formula>E$6&gt;$B$3</formula>
    </cfRule>
  </conditionalFormatting>
  <conditionalFormatting sqref="F5:F33">
    <cfRule type="expression" priority="3" dxfId="1">
      <formula>F$6&gt;$B$3</formula>
    </cfRule>
  </conditionalFormatting>
  <conditionalFormatting sqref="G5:G33">
    <cfRule type="expression" priority="4" dxfId="1">
      <formula>G$6&gt;$B$3</formula>
    </cfRule>
  </conditionalFormatting>
  <conditionalFormatting sqref="H5:H33">
    <cfRule type="expression" priority="5" dxfId="1">
      <formula>H$6&gt;$B$3</formula>
    </cfRule>
  </conditionalFormatting>
  <conditionalFormatting sqref="I5:I33">
    <cfRule type="expression" priority="6" dxfId="1">
      <formula>I$6&gt;$B$3</formula>
    </cfRule>
  </conditionalFormatting>
  <conditionalFormatting sqref="J5:J33">
    <cfRule type="expression" priority="7" dxfId="1">
      <formula>J$6&gt;$B$3</formula>
    </cfRule>
  </conditionalFormatting>
  <conditionalFormatting sqref="K5:K33">
    <cfRule type="expression" priority="8" dxfId="1">
      <formula>K$6&gt;$B$3</formula>
    </cfRule>
  </conditionalFormatting>
  <conditionalFormatting sqref="L5:L33">
    <cfRule type="expression" priority="9" dxfId="1">
      <formula>L$6&gt;$B$3</formula>
    </cfRule>
  </conditionalFormatting>
  <conditionalFormatting sqref="M5:M33">
    <cfRule type="expression" priority="10" dxfId="1">
      <formula>M$6&gt;$B$3</formula>
    </cfRule>
  </conditionalFormatting>
  <conditionalFormatting sqref="N5:N33">
    <cfRule type="expression" priority="11" dxfId="1">
      <formula>N$6&gt;$B$3</formula>
    </cfRule>
  </conditionalFormatting>
  <conditionalFormatting sqref="O5:O33">
    <cfRule type="expression" priority="12" dxfId="1">
      <formula>O$6&gt;$B$3</formula>
    </cfRule>
  </conditionalFormatting>
  <conditionalFormatting sqref="P5:P33">
    <cfRule type="expression" priority="13" dxfId="1">
      <formula>P$6&gt;$B$3</formula>
    </cfRule>
  </conditionalFormatting>
  <conditionalFormatting sqref="Q5:Q33">
    <cfRule type="expression" priority="14" dxfId="1">
      <formula>Q$6&gt;$B$3</formula>
    </cfRule>
  </conditionalFormatting>
  <conditionalFormatting sqref="R5:R33">
    <cfRule type="expression" priority="15" dxfId="1">
      <formula>R$6&gt;$B$3</formula>
    </cfRule>
  </conditionalFormatting>
  <conditionalFormatting sqref="S5:S33">
    <cfRule type="expression" priority="16" dxfId="1">
      <formula>S$6&gt;$B$3</formula>
    </cfRule>
  </conditionalFormatting>
  <conditionalFormatting sqref="T5:T33">
    <cfRule type="expression" priority="17" dxfId="1">
      <formula>T$6&gt;$B$3</formula>
    </cfRule>
  </conditionalFormatting>
  <conditionalFormatting sqref="U5:U33">
    <cfRule type="expression" priority="18" dxfId="1">
      <formula>U$6&gt;$B$3</formula>
    </cfRule>
  </conditionalFormatting>
  <conditionalFormatting sqref="V5:V33">
    <cfRule type="expression" priority="19" dxfId="1">
      <formula>V$6&gt;$B$3</formula>
    </cfRule>
  </conditionalFormatting>
  <conditionalFormatting sqref="W5:W33">
    <cfRule type="expression" priority="20" dxfId="1">
      <formula>W$6&gt;$B$3</formula>
    </cfRule>
  </conditionalFormatting>
  <conditionalFormatting sqref="X5:X33">
    <cfRule type="expression" priority="21" dxfId="1">
      <formula>X$6&gt;$B$3</formula>
    </cfRule>
  </conditionalFormatting>
  <conditionalFormatting sqref="Y5:Y33">
    <cfRule type="expression" priority="22" dxfId="1">
      <formula>Y$6&gt;$B$3</formula>
    </cfRule>
  </conditionalFormatting>
  <conditionalFormatting sqref="Z5:Z33">
    <cfRule type="expression" priority="23" dxfId="1">
      <formula>Z$6&gt;$B$3</formula>
    </cfRule>
  </conditionalFormatting>
  <conditionalFormatting sqref="AA5:AA33">
    <cfRule type="expression" priority="24" dxfId="1">
      <formula>AA$6&gt;$B$3</formula>
    </cfRule>
  </conditionalFormatting>
  <conditionalFormatting sqref="AB5:AB33">
    <cfRule type="expression" priority="25" dxfId="1">
      <formula>AB$6&gt;$B$3</formula>
    </cfRule>
  </conditionalFormatting>
  <conditionalFormatting sqref="AC5:AC33">
    <cfRule type="expression" priority="26" dxfId="1">
      <formula>AC$6&gt;$B$3</formula>
    </cfRule>
  </conditionalFormatting>
  <conditionalFormatting sqref="AD5:AD33">
    <cfRule type="expression" priority="27" dxfId="1">
      <formula>AD$6&gt;$B$3</formula>
    </cfRule>
  </conditionalFormatting>
  <conditionalFormatting sqref="AE5:AE33">
    <cfRule type="expression" priority="28" dxfId="1">
      <formula>AE$6&gt;$B$3</formula>
    </cfRule>
  </conditionalFormatting>
  <conditionalFormatting sqref="AF5:AF33">
    <cfRule type="expression" priority="29" dxfId="1">
      <formula>AF$6&gt;$B$3</formula>
    </cfRule>
  </conditionalFormatting>
  <conditionalFormatting sqref="AG5:AG33">
    <cfRule type="expression" priority="30" dxfId="1">
      <formula>AG$6&gt;$B$3</formula>
    </cfRule>
  </conditionalFormatting>
  <conditionalFormatting sqref="AH5:AH33">
    <cfRule type="expression" priority="31" dxfId="1">
      <formula>AH$6&gt;$B$3</formula>
    </cfRule>
  </conditionalFormatting>
  <conditionalFormatting sqref="AI5:AI33">
    <cfRule type="expression" priority="32" dxfId="1">
      <formula>AI$6&gt;$B$3</formula>
    </cfRule>
  </conditionalFormatting>
  <dataValidations count="1">
    <dataValidation sqref="E7 E8 E9 E10 E11 E12 E13 E14 E15 E16 E17 E18 E19 E20 E21 E22 E23 E24 E25 E26 F7 F8 F9 F10 F11 F12 F13 F14 F15 F16 F17 F18 F19 F20 F21 F22 F23 F24 F25 F26 G7 G8 G9 G10 G11 G12 G13 G14 G15 G16 G17 G18 G19 G20 G21 G22 G23 G24 G25 G26 H7 H8 H9 H10 H11 H12 H13 H14 H15 H16 H17 H18 H19 H20 H21 H22 H23 H24 H25 H26 I7 I8 I9 I10 I11 I12 I13 I14 I15 I16 I17 I18 I19 I20 I21 I22 I23 I24 I25 I26 J7 J8 J9 J10 J11 J12 J13 J14 J15 J16 J17 J18 J19 J20 J21 J22 J23 J24 J25 J26 K7 K8 K9 K10 K11 K12 K13 K14 K15 K16 K17 K18 K19 K20 K21 K22 K23 K24 K25 K26 L7 L8 L9 L10 L11 L12 L13 L14 L15 L16 L17 L18 L19 L20 L21 L22 L23 L24 L25 L26 M7 M8 M9 M10 M11 M12 M13 M14 M15 M16 M17 M18 M19 M20 M21 M22 M23 M24 M25 M26 N7 N8 N9 N10 N11 N12 N13 N14 N15 N16 N17 N18 N19 N20 N21 N22 N23 N24 N25 N26 O7 O8 O9 O10 O11 O12 O13 O14 O15 O16 O17 O18 O19 O20 O21 O22 O23 O24 O25 O26 P7 P8 P9 P10 P11 P12 P13 P14 P15 P16 P17 P18 P19 P20 P21 P22 P23 P24 P25 P26 Q7 Q8 Q9 Q10 Q11 Q12 Q13 Q14 Q15 Q16 Q17 Q18 Q19 Q20 Q21 Q22 Q23 Q24 Q25 Q26 R7 R8 R9 R10 R11 R12 R13 R14 R15 R16 R17 R18 R19 R20 R21 R22 R23 R24 R25 R26 S7 S8 S9 S10 S11 S12 S13 S14 S15 S16 S17 S18 S19 S20 S21 S22 S23 S24 S25 S26 T7 T8 T9 T10 T11 T12 T13 T14 T15 T16 T17 T18 T19 T20 T21 T22 T23 T24 T25 T26 U7 U8 U9 U10 U11 U12 U13 U14 U15 U16 U17 U18 U19 U20 U21 U22 U23 U24 U25 U26 V7 V8 V9 V10 V11 V12 V13 V14 V15 V16 V17 V18 V19 V20 V21 V22 V23 V24 V25 V26 W7 W8 W9 W10 W11 W12 W13 W14 W15 W16 W17 W18 W19 W20 W21 W22 W23 W24 W25 W26 X7 X8 X9 X10 X11 X12 X13 X14 X15 X16 X17 X18 X19 X20 X21 X22 X23 X24 X25 X26 Y7 Y8 Y9 Y10 Y11 Y12 Y13 Y14 Y15 Y16 Y17 Y18 Y19 Y20 Y21 Y22 Y23 Y24 Y25 Y26 Z7 Z8 Z9 Z10 Z11 Z12 Z13 Z14 Z15 Z16 Z17 Z18 Z19 Z20 Z21 Z22 Z23 Z24 Z25 Z26 AA7 AA8 AA9 AA10 AA11 AA12 AA13 AA14 AA15 AA16 AA17 AA18 AA19 AA20 AA21 AA22 AA23 AA24 AA25 AA26 AB7 AB8 AB9 AB10 AB11 AB12 AB13 AB14 AB15 AB16 AB17 AB18 AB19 AB20 AB21 AB22 AB23 AB24 AB25 AB26 AC7 AC8 AC9 AC10 AC11 AC12 AC13 AC14 AC15 AC16 AC17 AC18 AC19 AC20 AC21 AC22 AC23 AC24 AC25 AC26 AD7 AD8 AD9 AD10 AD11 AD12 AD13 AD14 AD15 AD16 AD17 AD18 AD19 AD20 AD21 AD22 AD23 AD24 AD25 AD26 AE7 AE8 AE9 AE10 AE11 AE12 AE13 AE14 AE15 AE16 AE17 AE18 AE19 AE20 AE21 AE22 AE23 AE24 AE25 AE26 AF7 AF8 AF9 AF10 AF11 AF12 AF13 AF14 AF15 AF16 AF17 AF18 AF19 AF20 AF21 AF22 AF23 AF24 AF25 AF26 AG7 AG8 AG9 AG10 AG11 AG12 AG13 AG14 AG15 AG16 AG17 AG18 AG19 AG20 AG21 AG22 AG23 AG24 AG25 AG26 AH7 AH8 AH9 AH10 AH11 AH12 AH13 AH14 AH15 AH16 AH17 AH18 AH19 AH20 AH21 AH22 AH23 AH24 AH25 AH26 AI7 AI8 AI9 AI10 AI11 AI12 AI13 AI14 AI15 AI16 AI17 AI18 AI19 AI20 AI21 AI22 AI23 AI24 AI25 AI26" showDropDown="0" showInputMessage="0" showErrorMessage="0" allowBlank="1" type="list">
      <formula1>"0,1"</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M3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9"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7" customWidth="1" min="36" max="36"/>
    <col width="18" customWidth="1" min="38" max="38"/>
    <col width="12" customWidth="1" min="39" max="39"/>
  </cols>
  <sheetData>
    <row r="1">
      <c r="A1" s="15" t="inlineStr">
        <is>
          <t>Feb Habit Tracker</t>
        </is>
      </c>
    </row>
    <row r="2">
      <c r="A2" s="10" t="inlineStr">
        <is>
          <t>Year:</t>
        </is>
      </c>
      <c r="B2">
        <f>Setup!$B$3</f>
        <v/>
      </c>
      <c r="C2" s="10" t="inlineStr">
        <is>
          <t>Month:</t>
        </is>
      </c>
      <c r="D2" t="inlineStr">
        <is>
          <t>Feb</t>
        </is>
      </c>
    </row>
    <row r="3">
      <c r="A3" s="10" t="inlineStr">
        <is>
          <t>Days in month:</t>
        </is>
      </c>
      <c r="B3">
        <f>DAY(EOMONTH(DATE(Setup!$B$3,2,1),0))</f>
        <v/>
      </c>
    </row>
    <row r="5" ht="18" customHeight="1">
      <c r="E5" s="16">
        <f>TEXT(DATE(Setup!$B$3,2,1),"ddd")</f>
        <v/>
      </c>
      <c r="F5" s="16">
        <f>TEXT(DATE(Setup!$B$3,2,2),"ddd")</f>
        <v/>
      </c>
      <c r="G5" s="16">
        <f>TEXT(DATE(Setup!$B$3,2,3),"ddd")</f>
        <v/>
      </c>
      <c r="H5" s="16">
        <f>TEXT(DATE(Setup!$B$3,2,4),"ddd")</f>
        <v/>
      </c>
      <c r="I5" s="16">
        <f>TEXT(DATE(Setup!$B$3,2,5),"ddd")</f>
        <v/>
      </c>
      <c r="J5" s="16">
        <f>TEXT(DATE(Setup!$B$3,2,6),"ddd")</f>
        <v/>
      </c>
      <c r="K5" s="16">
        <f>TEXT(DATE(Setup!$B$3,2,7),"ddd")</f>
        <v/>
      </c>
      <c r="L5" s="16">
        <f>TEXT(DATE(Setup!$B$3,2,8),"ddd")</f>
        <v/>
      </c>
      <c r="M5" s="16">
        <f>TEXT(DATE(Setup!$B$3,2,9),"ddd")</f>
        <v/>
      </c>
      <c r="N5" s="16">
        <f>TEXT(DATE(Setup!$B$3,2,10),"ddd")</f>
        <v/>
      </c>
      <c r="O5" s="16">
        <f>TEXT(DATE(Setup!$B$3,2,11),"ddd")</f>
        <v/>
      </c>
      <c r="P5" s="16">
        <f>TEXT(DATE(Setup!$B$3,2,12),"ddd")</f>
        <v/>
      </c>
      <c r="Q5" s="16">
        <f>TEXT(DATE(Setup!$B$3,2,13),"ddd")</f>
        <v/>
      </c>
      <c r="R5" s="16">
        <f>TEXT(DATE(Setup!$B$3,2,14),"ddd")</f>
        <v/>
      </c>
      <c r="S5" s="16">
        <f>TEXT(DATE(Setup!$B$3,2,15),"ddd")</f>
        <v/>
      </c>
      <c r="T5" s="16">
        <f>TEXT(DATE(Setup!$B$3,2,16),"ddd")</f>
        <v/>
      </c>
      <c r="U5" s="16">
        <f>TEXT(DATE(Setup!$B$3,2,17),"ddd")</f>
        <v/>
      </c>
      <c r="V5" s="16">
        <f>TEXT(DATE(Setup!$B$3,2,18),"ddd")</f>
        <v/>
      </c>
      <c r="W5" s="16">
        <f>TEXT(DATE(Setup!$B$3,2,19),"ddd")</f>
        <v/>
      </c>
      <c r="X5" s="16">
        <f>TEXT(DATE(Setup!$B$3,2,20),"ddd")</f>
        <v/>
      </c>
      <c r="Y5" s="16">
        <f>TEXT(DATE(Setup!$B$3,2,21),"ddd")</f>
        <v/>
      </c>
      <c r="Z5" s="16">
        <f>TEXT(DATE(Setup!$B$3,2,22),"ddd")</f>
        <v/>
      </c>
      <c r="AA5" s="16">
        <f>TEXT(DATE(Setup!$B$3,2,23),"ddd")</f>
        <v/>
      </c>
      <c r="AB5" s="16">
        <f>TEXT(DATE(Setup!$B$3,2,24),"ddd")</f>
        <v/>
      </c>
      <c r="AC5" s="16">
        <f>TEXT(DATE(Setup!$B$3,2,25),"ddd")</f>
        <v/>
      </c>
      <c r="AD5" s="16">
        <f>TEXT(DATE(Setup!$B$3,2,26),"ddd")</f>
        <v/>
      </c>
      <c r="AE5" s="16">
        <f>TEXT(DATE(Setup!$B$3,2,27),"ddd")</f>
        <v/>
      </c>
      <c r="AF5" s="16">
        <f>TEXT(DATE(Setup!$B$3,2,28),"ddd")</f>
        <v/>
      </c>
      <c r="AG5" s="16">
        <f>TEXT(DATE(Setup!$B$3,2,29),"ddd")</f>
        <v/>
      </c>
      <c r="AH5" s="16">
        <f>TEXT(DATE(Setup!$B$3,2,30),"ddd")</f>
        <v/>
      </c>
      <c r="AI5" s="16">
        <f>TEXT(DATE(Setup!$B$3,2,31),"ddd")</f>
        <v/>
      </c>
    </row>
    <row r="6" ht="18" customHeight="1">
      <c r="A6" s="17" t="inlineStr">
        <is>
          <t>Active</t>
        </is>
      </c>
      <c r="B6" s="17" t="inlineStr">
        <is>
          <t>Habit</t>
        </is>
      </c>
      <c r="C6" s="17" t="inlineStr">
        <is>
          <t>Type</t>
        </is>
      </c>
      <c r="D6" s="17" t="inlineStr">
        <is>
          <t>Points</t>
        </is>
      </c>
      <c r="E6" s="18" t="n">
        <v>1</v>
      </c>
      <c r="F6" s="18" t="n">
        <v>2</v>
      </c>
      <c r="G6" s="18" t="n">
        <v>3</v>
      </c>
      <c r="H6" s="18" t="n">
        <v>4</v>
      </c>
      <c r="I6" s="18" t="n">
        <v>5</v>
      </c>
      <c r="J6" s="18" t="n">
        <v>6</v>
      </c>
      <c r="K6" s="18" t="n">
        <v>7</v>
      </c>
      <c r="L6" s="18" t="n">
        <v>8</v>
      </c>
      <c r="M6" s="18" t="n">
        <v>9</v>
      </c>
      <c r="N6" s="18" t="n">
        <v>10</v>
      </c>
      <c r="O6" s="18" t="n">
        <v>11</v>
      </c>
      <c r="P6" s="18" t="n">
        <v>12</v>
      </c>
      <c r="Q6" s="18" t="n">
        <v>13</v>
      </c>
      <c r="R6" s="18" t="n">
        <v>14</v>
      </c>
      <c r="S6" s="18" t="n">
        <v>15</v>
      </c>
      <c r="T6" s="18" t="n">
        <v>16</v>
      </c>
      <c r="U6" s="18" t="n">
        <v>17</v>
      </c>
      <c r="V6" s="18" t="n">
        <v>18</v>
      </c>
      <c r="W6" s="18" t="n">
        <v>19</v>
      </c>
      <c r="X6" s="18" t="n">
        <v>20</v>
      </c>
      <c r="Y6" s="18" t="n">
        <v>21</v>
      </c>
      <c r="Z6" s="18" t="n">
        <v>22</v>
      </c>
      <c r="AA6" s="18" t="n">
        <v>23</v>
      </c>
      <c r="AB6" s="18" t="n">
        <v>24</v>
      </c>
      <c r="AC6" s="18" t="n">
        <v>25</v>
      </c>
      <c r="AD6" s="18" t="n">
        <v>26</v>
      </c>
      <c r="AE6" s="18" t="n">
        <v>27</v>
      </c>
      <c r="AF6" s="18" t="n">
        <v>28</v>
      </c>
      <c r="AG6" s="18" t="n">
        <v>29</v>
      </c>
      <c r="AH6" s="18" t="n">
        <v>30</v>
      </c>
      <c r="AI6" s="18" t="n">
        <v>31</v>
      </c>
      <c r="AJ6" s="17" t="inlineStr">
        <is>
          <t>Total</t>
        </is>
      </c>
    </row>
    <row r="7">
      <c r="A7" s="19">
        <f>Setup!D9</f>
        <v/>
      </c>
      <c r="B7" s="20">
        <f>Setup!A9</f>
        <v/>
      </c>
      <c r="C7" s="19">
        <f>Setup!B9</f>
        <v/>
      </c>
      <c r="D7" s="19">
        <f>Setup!E9</f>
        <v/>
      </c>
      <c r="E7" s="21" t="inlineStr"/>
      <c r="F7" s="21" t="inlineStr"/>
      <c r="G7" s="21" t="inlineStr"/>
      <c r="H7" s="21" t="inlineStr"/>
      <c r="I7" s="21" t="inlineStr"/>
      <c r="J7" s="21" t="inlineStr"/>
      <c r="K7" s="21" t="inlineStr"/>
      <c r="L7" s="21" t="inlineStr"/>
      <c r="M7" s="21" t="inlineStr"/>
      <c r="N7" s="21" t="inlineStr"/>
      <c r="O7" s="21" t="inlineStr"/>
      <c r="P7" s="21" t="inlineStr"/>
      <c r="Q7" s="21" t="inlineStr"/>
      <c r="R7" s="21" t="inlineStr"/>
      <c r="S7" s="21" t="inlineStr"/>
      <c r="T7" s="21" t="inlineStr"/>
      <c r="U7" s="21" t="inlineStr"/>
      <c r="V7" s="21" t="inlineStr"/>
      <c r="W7" s="21" t="inlineStr"/>
      <c r="X7" s="21" t="inlineStr"/>
      <c r="Y7" s="21" t="inlineStr"/>
      <c r="Z7" s="21" t="inlineStr"/>
      <c r="AA7" s="21" t="inlineStr"/>
      <c r="AB7" s="21" t="inlineStr"/>
      <c r="AC7" s="21" t="inlineStr"/>
      <c r="AD7" s="21" t="inlineStr"/>
      <c r="AE7" s="21" t="inlineStr"/>
      <c r="AF7" s="21" t="inlineStr"/>
      <c r="AG7" s="21" t="inlineStr"/>
      <c r="AH7" s="21" t="inlineStr"/>
      <c r="AI7" s="21" t="inlineStr"/>
      <c r="AJ7" s="22">
        <f>IF($A7=1,SUMPRODUCT(($E$6:$AI$6&lt;=$B$3)*(E7:AI7)),"")</f>
        <v/>
      </c>
    </row>
    <row r="8">
      <c r="A8" s="19">
        <f>Setup!D10</f>
        <v/>
      </c>
      <c r="B8" s="20">
        <f>Setup!A10</f>
        <v/>
      </c>
      <c r="C8" s="19">
        <f>Setup!B10</f>
        <v/>
      </c>
      <c r="D8" s="19">
        <f>Setup!E10</f>
        <v/>
      </c>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2">
        <f>IF($A8=1,SUMPRODUCT(($E$6:$AI$6&lt;=$B$3)*(E8:AI8)),"")</f>
        <v/>
      </c>
    </row>
    <row r="9">
      <c r="A9" s="19">
        <f>Setup!D11</f>
        <v/>
      </c>
      <c r="B9" s="20">
        <f>Setup!A11</f>
        <v/>
      </c>
      <c r="C9" s="19">
        <f>Setup!B11</f>
        <v/>
      </c>
      <c r="D9" s="19">
        <f>Setup!E11</f>
        <v/>
      </c>
      <c r="E9" s="21" t="inlineStr"/>
      <c r="F9" s="21" t="inlineStr"/>
      <c r="G9" s="21" t="inlineStr"/>
      <c r="H9" s="21" t="inlineStr"/>
      <c r="I9" s="21" t="inlineStr"/>
      <c r="J9" s="21" t="inlineStr"/>
      <c r="K9" s="21" t="inlineStr"/>
      <c r="L9" s="21" t="inlineStr"/>
      <c r="M9" s="21" t="inlineStr"/>
      <c r="N9" s="21" t="inlineStr"/>
      <c r="O9" s="21" t="inlineStr"/>
      <c r="P9" s="21" t="inlineStr"/>
      <c r="Q9" s="21" t="inlineStr"/>
      <c r="R9" s="21" t="inlineStr"/>
      <c r="S9" s="21" t="inlineStr"/>
      <c r="T9" s="21" t="inlineStr"/>
      <c r="U9" s="21" t="inlineStr"/>
      <c r="V9" s="21" t="inlineStr"/>
      <c r="W9" s="21" t="inlineStr"/>
      <c r="X9" s="21" t="inlineStr"/>
      <c r="Y9" s="21" t="inlineStr"/>
      <c r="Z9" s="21" t="inlineStr"/>
      <c r="AA9" s="21" t="inlineStr"/>
      <c r="AB9" s="21" t="inlineStr"/>
      <c r="AC9" s="21" t="inlineStr"/>
      <c r="AD9" s="21" t="inlineStr"/>
      <c r="AE9" s="21" t="inlineStr"/>
      <c r="AF9" s="21" t="inlineStr"/>
      <c r="AG9" s="21" t="inlineStr"/>
      <c r="AH9" s="21" t="inlineStr"/>
      <c r="AI9" s="21" t="inlineStr"/>
      <c r="AJ9" s="22">
        <f>IF($A9=1,SUMPRODUCT(($E$6:$AI$6&lt;=$B$3)*(E9:AI9)),"")</f>
        <v/>
      </c>
    </row>
    <row r="10">
      <c r="A10" s="19">
        <f>Setup!D12</f>
        <v/>
      </c>
      <c r="B10" s="20">
        <f>Setup!A12</f>
        <v/>
      </c>
      <c r="C10" s="19">
        <f>Setup!B12</f>
        <v/>
      </c>
      <c r="D10" s="19">
        <f>Setup!E12</f>
        <v/>
      </c>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2">
        <f>IF($A10=1,SUMPRODUCT(($E$6:$AI$6&lt;=$B$3)*(E10:AI10)),"")</f>
        <v/>
      </c>
    </row>
    <row r="11">
      <c r="A11" s="19">
        <f>Setup!D13</f>
        <v/>
      </c>
      <c r="B11" s="20">
        <f>Setup!A13</f>
        <v/>
      </c>
      <c r="C11" s="19">
        <f>Setup!B13</f>
        <v/>
      </c>
      <c r="D11" s="19">
        <f>Setup!E13</f>
        <v/>
      </c>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c r="R11" s="21" t="inlineStr"/>
      <c r="S11" s="21" t="inlineStr"/>
      <c r="T11" s="21" t="inlineStr"/>
      <c r="U11" s="21" t="inlineStr"/>
      <c r="V11" s="21" t="inlineStr"/>
      <c r="W11" s="21" t="inlineStr"/>
      <c r="X11" s="21" t="inlineStr"/>
      <c r="Y11" s="21" t="inlineStr"/>
      <c r="Z11" s="21" t="inlineStr"/>
      <c r="AA11" s="21" t="inlineStr"/>
      <c r="AB11" s="21" t="inlineStr"/>
      <c r="AC11" s="21" t="inlineStr"/>
      <c r="AD11" s="21" t="inlineStr"/>
      <c r="AE11" s="21" t="inlineStr"/>
      <c r="AF11" s="21" t="inlineStr"/>
      <c r="AG11" s="21" t="inlineStr"/>
      <c r="AH11" s="21" t="inlineStr"/>
      <c r="AI11" s="21" t="inlineStr"/>
      <c r="AJ11" s="22">
        <f>IF($A11=1,SUMPRODUCT(($E$6:$AI$6&lt;=$B$3)*(E11:AI11)),"")</f>
        <v/>
      </c>
    </row>
    <row r="12">
      <c r="A12" s="19">
        <f>Setup!D14</f>
        <v/>
      </c>
      <c r="B12" s="20">
        <f>Setup!A14</f>
        <v/>
      </c>
      <c r="C12" s="19">
        <f>Setup!B14</f>
        <v/>
      </c>
      <c r="D12" s="19">
        <f>Setup!E14</f>
        <v/>
      </c>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2">
        <f>IF($A12=1,SUMPRODUCT(($E$6:$AI$6&lt;=$B$3)*(E12:AI12)),"")</f>
        <v/>
      </c>
    </row>
    <row r="13">
      <c r="A13" s="19">
        <f>Setup!D15</f>
        <v/>
      </c>
      <c r="B13" s="20">
        <f>Setup!A15</f>
        <v/>
      </c>
      <c r="C13" s="19">
        <f>Setup!B15</f>
        <v/>
      </c>
      <c r="D13" s="19">
        <f>Setup!E15</f>
        <v/>
      </c>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c r="U13" s="21" t="inlineStr"/>
      <c r="V13" s="21" t="inlineStr"/>
      <c r="W13" s="21" t="inlineStr"/>
      <c r="X13" s="21" t="inlineStr"/>
      <c r="Y13" s="21" t="inlineStr"/>
      <c r="Z13" s="21" t="inlineStr"/>
      <c r="AA13" s="21" t="inlineStr"/>
      <c r="AB13" s="21" t="inlineStr"/>
      <c r="AC13" s="21" t="inlineStr"/>
      <c r="AD13" s="21" t="inlineStr"/>
      <c r="AE13" s="21" t="inlineStr"/>
      <c r="AF13" s="21" t="inlineStr"/>
      <c r="AG13" s="21" t="inlineStr"/>
      <c r="AH13" s="21" t="inlineStr"/>
      <c r="AI13" s="21" t="inlineStr"/>
      <c r="AJ13" s="22">
        <f>IF($A13=1,SUMPRODUCT(($E$6:$AI$6&lt;=$B$3)*(E13:AI13)),"")</f>
        <v/>
      </c>
    </row>
    <row r="14">
      <c r="A14" s="19">
        <f>Setup!D16</f>
        <v/>
      </c>
      <c r="B14" s="20">
        <f>Setup!A16</f>
        <v/>
      </c>
      <c r="C14" s="19">
        <f>Setup!B16</f>
        <v/>
      </c>
      <c r="D14" s="19">
        <f>Setup!E16</f>
        <v/>
      </c>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2">
        <f>IF($A14=1,SUMPRODUCT(($E$6:$AI$6&lt;=$B$3)*(E14:AI14)),"")</f>
        <v/>
      </c>
    </row>
    <row r="15">
      <c r="A15" s="19">
        <f>Setup!D17</f>
        <v/>
      </c>
      <c r="B15" s="20">
        <f>Setup!A17</f>
        <v/>
      </c>
      <c r="C15" s="19">
        <f>Setup!B17</f>
        <v/>
      </c>
      <c r="D15" s="19">
        <f>Setup!E17</f>
        <v/>
      </c>
      <c r="E15" s="21" t="inlineStr"/>
      <c r="F15" s="21" t="inlineStr"/>
      <c r="G15" s="21" t="inlineStr"/>
      <c r="H15" s="21" t="inlineStr"/>
      <c r="I15" s="21" t="inlineStr"/>
      <c r="J15" s="21" t="inlineStr"/>
      <c r="K15" s="21" t="inlineStr"/>
      <c r="L15" s="21" t="inlineStr"/>
      <c r="M15" s="21" t="inlineStr"/>
      <c r="N15" s="21" t="inlineStr"/>
      <c r="O15" s="21" t="inlineStr"/>
      <c r="P15" s="21" t="inlineStr"/>
      <c r="Q15" s="21" t="inlineStr"/>
      <c r="R15" s="21" t="inlineStr"/>
      <c r="S15" s="21" t="inlineStr"/>
      <c r="T15" s="21" t="inlineStr"/>
      <c r="U15" s="21" t="inlineStr"/>
      <c r="V15" s="21" t="inlineStr"/>
      <c r="W15" s="21" t="inlineStr"/>
      <c r="X15" s="21" t="inlineStr"/>
      <c r="Y15" s="21" t="inlineStr"/>
      <c r="Z15" s="21" t="inlineStr"/>
      <c r="AA15" s="21" t="inlineStr"/>
      <c r="AB15" s="21" t="inlineStr"/>
      <c r="AC15" s="21" t="inlineStr"/>
      <c r="AD15" s="21" t="inlineStr"/>
      <c r="AE15" s="21" t="inlineStr"/>
      <c r="AF15" s="21" t="inlineStr"/>
      <c r="AG15" s="21" t="inlineStr"/>
      <c r="AH15" s="21" t="inlineStr"/>
      <c r="AI15" s="21" t="inlineStr"/>
      <c r="AJ15" s="22">
        <f>IF($A15=1,SUMPRODUCT(($E$6:$AI$6&lt;=$B$3)*(E15:AI15)),"")</f>
        <v/>
      </c>
    </row>
    <row r="16">
      <c r="A16" s="19">
        <f>Setup!D18</f>
        <v/>
      </c>
      <c r="B16" s="20">
        <f>Setup!A18</f>
        <v/>
      </c>
      <c r="C16" s="19">
        <f>Setup!B18</f>
        <v/>
      </c>
      <c r="D16" s="19">
        <f>Setup!E18</f>
        <v/>
      </c>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2">
        <f>IF($A16=1,SUMPRODUCT(($E$6:$AI$6&lt;=$B$3)*(E16:AI16)),"")</f>
        <v/>
      </c>
    </row>
    <row r="17">
      <c r="A17" s="19">
        <f>Setup!D19</f>
        <v/>
      </c>
      <c r="B17" s="20">
        <f>Setup!A19</f>
        <v/>
      </c>
      <c r="C17" s="19">
        <f>Setup!B19</f>
        <v/>
      </c>
      <c r="D17" s="19">
        <f>Setup!E19</f>
        <v/>
      </c>
      <c r="E17" s="21" t="inlineStr"/>
      <c r="F17" s="21" t="inlineStr"/>
      <c r="G17" s="21" t="inlineStr"/>
      <c r="H17" s="21" t="inlineStr"/>
      <c r="I17" s="21" t="inlineStr"/>
      <c r="J17" s="21" t="inlineStr"/>
      <c r="K17" s="21" t="inlineStr"/>
      <c r="L17" s="21" t="inlineStr"/>
      <c r="M17" s="21" t="inlineStr"/>
      <c r="N17" s="21" t="inlineStr"/>
      <c r="O17" s="21" t="inlineStr"/>
      <c r="P17" s="21" t="inlineStr"/>
      <c r="Q17" s="21" t="inlineStr"/>
      <c r="R17" s="21" t="inlineStr"/>
      <c r="S17" s="21" t="inlineStr"/>
      <c r="T17" s="21" t="inlineStr"/>
      <c r="U17" s="21" t="inlineStr"/>
      <c r="V17" s="21" t="inlineStr"/>
      <c r="W17" s="21" t="inlineStr"/>
      <c r="X17" s="21" t="inlineStr"/>
      <c r="Y17" s="21" t="inlineStr"/>
      <c r="Z17" s="21" t="inlineStr"/>
      <c r="AA17" s="21" t="inlineStr"/>
      <c r="AB17" s="21" t="inlineStr"/>
      <c r="AC17" s="21" t="inlineStr"/>
      <c r="AD17" s="21" t="inlineStr"/>
      <c r="AE17" s="21" t="inlineStr"/>
      <c r="AF17" s="21" t="inlineStr"/>
      <c r="AG17" s="21" t="inlineStr"/>
      <c r="AH17" s="21" t="inlineStr"/>
      <c r="AI17" s="21" t="inlineStr"/>
      <c r="AJ17" s="22">
        <f>IF($A17=1,SUMPRODUCT(($E$6:$AI$6&lt;=$B$3)*(E17:AI17)),"")</f>
        <v/>
      </c>
    </row>
    <row r="18">
      <c r="A18" s="19">
        <f>Setup!D20</f>
        <v/>
      </c>
      <c r="B18" s="20">
        <f>Setup!A20</f>
        <v/>
      </c>
      <c r="C18" s="19">
        <f>Setup!B20</f>
        <v/>
      </c>
      <c r="D18" s="19">
        <f>Setup!E20</f>
        <v/>
      </c>
      <c r="E18" s="21" t="inlineStr"/>
      <c r="F18" s="21" t="inlineStr"/>
      <c r="G18" s="21" t="inlineStr"/>
      <c r="H18" s="21" t="inlineStr"/>
      <c r="I18" s="21" t="inlineStr"/>
      <c r="J18" s="21" t="inlineStr"/>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2">
        <f>IF($A18=1,SUMPRODUCT(($E$6:$AI$6&lt;=$B$3)*(E18:AI18)),"")</f>
        <v/>
      </c>
    </row>
    <row r="19">
      <c r="A19" s="19">
        <f>Setup!D21</f>
        <v/>
      </c>
      <c r="B19" s="20">
        <f>Setup!A21</f>
        <v/>
      </c>
      <c r="C19" s="19">
        <f>Setup!B21</f>
        <v/>
      </c>
      <c r="D19" s="19">
        <f>Setup!E21</f>
        <v/>
      </c>
      <c r="E19" s="21" t="inlineStr"/>
      <c r="F19" s="21" t="inlineStr"/>
      <c r="G19" s="21" t="inlineStr"/>
      <c r="H19" s="21" t="inlineStr"/>
      <c r="I19" s="21" t="inlineStr"/>
      <c r="J19" s="21" t="inlineStr"/>
      <c r="K19" s="21" t="inlineStr"/>
      <c r="L19" s="21" t="inlineStr"/>
      <c r="M19" s="21" t="inlineStr"/>
      <c r="N19" s="21" t="inlineStr"/>
      <c r="O19" s="21" t="inlineStr"/>
      <c r="P19" s="21" t="inlineStr"/>
      <c r="Q19" s="21" t="inlineStr"/>
      <c r="R19" s="21" t="inlineStr"/>
      <c r="S19" s="21" t="inlineStr"/>
      <c r="T19" s="21" t="inlineStr"/>
      <c r="U19" s="21" t="inlineStr"/>
      <c r="V19" s="21" t="inlineStr"/>
      <c r="W19" s="21" t="inlineStr"/>
      <c r="X19" s="21" t="inlineStr"/>
      <c r="Y19" s="21" t="inlineStr"/>
      <c r="Z19" s="21" t="inlineStr"/>
      <c r="AA19" s="21" t="inlineStr"/>
      <c r="AB19" s="21" t="inlineStr"/>
      <c r="AC19" s="21" t="inlineStr"/>
      <c r="AD19" s="21" t="inlineStr"/>
      <c r="AE19" s="21" t="inlineStr"/>
      <c r="AF19" s="21" t="inlineStr"/>
      <c r="AG19" s="21" t="inlineStr"/>
      <c r="AH19" s="21" t="inlineStr"/>
      <c r="AI19" s="21" t="inlineStr"/>
      <c r="AJ19" s="22">
        <f>IF($A19=1,SUMPRODUCT(($E$6:$AI$6&lt;=$B$3)*(E19:AI19)),"")</f>
        <v/>
      </c>
    </row>
    <row r="20">
      <c r="A20" s="19">
        <f>Setup!D22</f>
        <v/>
      </c>
      <c r="B20" s="20">
        <f>Setup!A22</f>
        <v/>
      </c>
      <c r="C20" s="19">
        <f>Setup!B22</f>
        <v/>
      </c>
      <c r="D20" s="19">
        <f>Setup!E22</f>
        <v/>
      </c>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2">
        <f>IF($A20=1,SUMPRODUCT(($E$6:$AI$6&lt;=$B$3)*(E20:AI20)),"")</f>
        <v/>
      </c>
    </row>
    <row r="21">
      <c r="A21" s="19">
        <f>Setup!D23</f>
        <v/>
      </c>
      <c r="B21" s="20">
        <f>Setup!A23</f>
        <v/>
      </c>
      <c r="C21" s="19">
        <f>Setup!B23</f>
        <v/>
      </c>
      <c r="D21" s="19">
        <f>Setup!E23</f>
        <v/>
      </c>
      <c r="E21" s="21" t="inlineStr"/>
      <c r="F21" s="21" t="inlineStr"/>
      <c r="G21" s="21" t="inlineStr"/>
      <c r="H21" s="21" t="inlineStr"/>
      <c r="I21" s="21" t="inlineStr"/>
      <c r="J21" s="21" t="inlineStr"/>
      <c r="K21" s="21" t="inlineStr"/>
      <c r="L21" s="21" t="inlineStr"/>
      <c r="M21" s="21" t="inlineStr"/>
      <c r="N21" s="21" t="inlineStr"/>
      <c r="O21" s="21" t="inlineStr"/>
      <c r="P21" s="21" t="inlineStr"/>
      <c r="Q21" s="21" t="inlineStr"/>
      <c r="R21" s="21" t="inlineStr"/>
      <c r="S21" s="21" t="inlineStr"/>
      <c r="T21" s="21" t="inlineStr"/>
      <c r="U21" s="21" t="inlineStr"/>
      <c r="V21" s="21" t="inlineStr"/>
      <c r="W21" s="21" t="inlineStr"/>
      <c r="X21" s="21" t="inlineStr"/>
      <c r="Y21" s="21" t="inlineStr"/>
      <c r="Z21" s="21" t="inlineStr"/>
      <c r="AA21" s="21" t="inlineStr"/>
      <c r="AB21" s="21" t="inlineStr"/>
      <c r="AC21" s="21" t="inlineStr"/>
      <c r="AD21" s="21" t="inlineStr"/>
      <c r="AE21" s="21" t="inlineStr"/>
      <c r="AF21" s="21" t="inlineStr"/>
      <c r="AG21" s="21" t="inlineStr"/>
      <c r="AH21" s="21" t="inlineStr"/>
      <c r="AI21" s="21" t="inlineStr"/>
      <c r="AJ21" s="22">
        <f>IF($A21=1,SUMPRODUCT(($E$6:$AI$6&lt;=$B$3)*(E21:AI21)),"")</f>
        <v/>
      </c>
    </row>
    <row r="22">
      <c r="A22" s="19">
        <f>Setup!D24</f>
        <v/>
      </c>
      <c r="B22" s="20">
        <f>Setup!A24</f>
        <v/>
      </c>
      <c r="C22" s="19">
        <f>Setup!B24</f>
        <v/>
      </c>
      <c r="D22" s="19">
        <f>Setup!E24</f>
        <v/>
      </c>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c r="Y22" s="21" t="inlineStr"/>
      <c r="Z22" s="21" t="inlineStr"/>
      <c r="AA22" s="21" t="inlineStr"/>
      <c r="AB22" s="21" t="inlineStr"/>
      <c r="AC22" s="21" t="inlineStr"/>
      <c r="AD22" s="21" t="inlineStr"/>
      <c r="AE22" s="21" t="inlineStr"/>
      <c r="AF22" s="21" t="inlineStr"/>
      <c r="AG22" s="21" t="inlineStr"/>
      <c r="AH22" s="21" t="inlineStr"/>
      <c r="AI22" s="21" t="inlineStr"/>
      <c r="AJ22" s="22">
        <f>IF($A22=1,SUMPRODUCT(($E$6:$AI$6&lt;=$B$3)*(E22:AI22)),"")</f>
        <v/>
      </c>
    </row>
    <row r="23">
      <c r="A23" s="19">
        <f>Setup!D25</f>
        <v/>
      </c>
      <c r="B23" s="20">
        <f>Setup!A25</f>
        <v/>
      </c>
      <c r="C23" s="19">
        <f>Setup!B25</f>
        <v/>
      </c>
      <c r="D23" s="19">
        <f>Setup!E25</f>
        <v/>
      </c>
      <c r="E23" s="21" t="inlineStr"/>
      <c r="F23" s="21" t="inlineStr"/>
      <c r="G23" s="21" t="inlineStr"/>
      <c r="H23" s="21" t="inlineStr"/>
      <c r="I23" s="21" t="inlineStr"/>
      <c r="J23" s="21" t="inlineStr"/>
      <c r="K23" s="21" t="inlineStr"/>
      <c r="L23" s="21" t="inlineStr"/>
      <c r="M23" s="21" t="inlineStr"/>
      <c r="N23" s="21" t="inlineStr"/>
      <c r="O23" s="21" t="inlineStr"/>
      <c r="P23" s="21" t="inlineStr"/>
      <c r="Q23" s="21" t="inlineStr"/>
      <c r="R23" s="21" t="inlineStr"/>
      <c r="S23" s="21" t="inlineStr"/>
      <c r="T23" s="21" t="inlineStr"/>
      <c r="U23" s="21" t="inlineStr"/>
      <c r="V23" s="21" t="inlineStr"/>
      <c r="W23" s="21" t="inlineStr"/>
      <c r="X23" s="21" t="inlineStr"/>
      <c r="Y23" s="21" t="inlineStr"/>
      <c r="Z23" s="21" t="inlineStr"/>
      <c r="AA23" s="21" t="inlineStr"/>
      <c r="AB23" s="21" t="inlineStr"/>
      <c r="AC23" s="21" t="inlineStr"/>
      <c r="AD23" s="21" t="inlineStr"/>
      <c r="AE23" s="21" t="inlineStr"/>
      <c r="AF23" s="21" t="inlineStr"/>
      <c r="AG23" s="21" t="inlineStr"/>
      <c r="AH23" s="21" t="inlineStr"/>
      <c r="AI23" s="21" t="inlineStr"/>
      <c r="AJ23" s="22">
        <f>IF($A23=1,SUMPRODUCT(($E$6:$AI$6&lt;=$B$3)*(E23:AI23)),"")</f>
        <v/>
      </c>
    </row>
    <row r="24">
      <c r="A24" s="19">
        <f>Setup!D26</f>
        <v/>
      </c>
      <c r="B24" s="20">
        <f>Setup!A26</f>
        <v/>
      </c>
      <c r="C24" s="19">
        <f>Setup!B26</f>
        <v/>
      </c>
      <c r="D24" s="19">
        <f>Setup!E26</f>
        <v/>
      </c>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c r="Y24" s="21" t="inlineStr"/>
      <c r="Z24" s="21" t="inlineStr"/>
      <c r="AA24" s="21" t="inlineStr"/>
      <c r="AB24" s="21" t="inlineStr"/>
      <c r="AC24" s="21" t="inlineStr"/>
      <c r="AD24" s="21" t="inlineStr"/>
      <c r="AE24" s="21" t="inlineStr"/>
      <c r="AF24" s="21" t="inlineStr"/>
      <c r="AG24" s="21" t="inlineStr"/>
      <c r="AH24" s="21" t="inlineStr"/>
      <c r="AI24" s="21" t="inlineStr"/>
      <c r="AJ24" s="22">
        <f>IF($A24=1,SUMPRODUCT(($E$6:$AI$6&lt;=$B$3)*(E24:AI24)),"")</f>
        <v/>
      </c>
    </row>
    <row r="25">
      <c r="A25" s="19">
        <f>Setup!D27</f>
        <v/>
      </c>
      <c r="B25" s="20">
        <f>Setup!A27</f>
        <v/>
      </c>
      <c r="C25" s="19">
        <f>Setup!B27</f>
        <v/>
      </c>
      <c r="D25" s="19">
        <f>Setup!E27</f>
        <v/>
      </c>
      <c r="E25" s="21" t="inlineStr"/>
      <c r="F25" s="21" t="inlineStr"/>
      <c r="G25" s="21" t="inlineStr"/>
      <c r="H25" s="21" t="inlineStr"/>
      <c r="I25" s="21" t="inlineStr"/>
      <c r="J25" s="21" t="inlineStr"/>
      <c r="K25" s="21" t="inlineStr"/>
      <c r="L25" s="21" t="inlineStr"/>
      <c r="M25" s="21" t="inlineStr"/>
      <c r="N25" s="21" t="inlineStr"/>
      <c r="O25" s="21" t="inlineStr"/>
      <c r="P25" s="21" t="inlineStr"/>
      <c r="Q25" s="21" t="inlineStr"/>
      <c r="R25" s="21" t="inlineStr"/>
      <c r="S25" s="21" t="inlineStr"/>
      <c r="T25" s="21" t="inlineStr"/>
      <c r="U25" s="21" t="inlineStr"/>
      <c r="V25" s="21" t="inlineStr"/>
      <c r="W25" s="21" t="inlineStr"/>
      <c r="X25" s="21" t="inlineStr"/>
      <c r="Y25" s="21" t="inlineStr"/>
      <c r="Z25" s="21" t="inlineStr"/>
      <c r="AA25" s="21" t="inlineStr"/>
      <c r="AB25" s="21" t="inlineStr"/>
      <c r="AC25" s="21" t="inlineStr"/>
      <c r="AD25" s="21" t="inlineStr"/>
      <c r="AE25" s="21" t="inlineStr"/>
      <c r="AF25" s="21" t="inlineStr"/>
      <c r="AG25" s="21" t="inlineStr"/>
      <c r="AH25" s="21" t="inlineStr"/>
      <c r="AI25" s="21" t="inlineStr"/>
      <c r="AJ25" s="22">
        <f>IF($A25=1,SUMPRODUCT(($E$6:$AI$6&lt;=$B$3)*(E25:AI25)),"")</f>
        <v/>
      </c>
    </row>
    <row r="26">
      <c r="A26" s="19">
        <f>Setup!D28</f>
        <v/>
      </c>
      <c r="B26" s="20">
        <f>Setup!A28</f>
        <v/>
      </c>
      <c r="C26" s="19">
        <f>Setup!B28</f>
        <v/>
      </c>
      <c r="D26" s="19">
        <f>Setup!E28</f>
        <v/>
      </c>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2">
        <f>IF($A26=1,SUMPRODUCT(($E$6:$AI$6&lt;=$B$3)*(E26:AI26)),"")</f>
        <v/>
      </c>
    </row>
    <row r="29">
      <c r="A29" s="23" t="inlineStr">
        <is>
          <t>Daily summary</t>
        </is>
      </c>
    </row>
    <row r="30">
      <c r="A30" s="8" t="inlineStr">
        <is>
          <t>Good habits done</t>
        </is>
      </c>
      <c r="E30" s="19">
        <f>SUMPRODUCT(($A$7:$A$26=1)*($C$7:$C$26="Good")*(E7:E26))</f>
        <v/>
      </c>
      <c r="F30" s="19">
        <f>SUMPRODUCT(($A$7:$A$26=1)*($C$7:$C$26="Good")*(F7:F26))</f>
        <v/>
      </c>
      <c r="G30" s="19">
        <f>SUMPRODUCT(($A$7:$A$26=1)*($C$7:$C$26="Good")*(G7:G26))</f>
        <v/>
      </c>
      <c r="H30" s="19">
        <f>SUMPRODUCT(($A$7:$A$26=1)*($C$7:$C$26="Good")*(H7:H26))</f>
        <v/>
      </c>
      <c r="I30" s="19">
        <f>SUMPRODUCT(($A$7:$A$26=1)*($C$7:$C$26="Good")*(I7:I26))</f>
        <v/>
      </c>
      <c r="J30" s="19">
        <f>SUMPRODUCT(($A$7:$A$26=1)*($C$7:$C$26="Good")*(J7:J26))</f>
        <v/>
      </c>
      <c r="K30" s="19">
        <f>SUMPRODUCT(($A$7:$A$26=1)*($C$7:$C$26="Good")*(K7:K26))</f>
        <v/>
      </c>
      <c r="L30" s="19">
        <f>SUMPRODUCT(($A$7:$A$26=1)*($C$7:$C$26="Good")*(L7:L26))</f>
        <v/>
      </c>
      <c r="M30" s="19">
        <f>SUMPRODUCT(($A$7:$A$26=1)*($C$7:$C$26="Good")*(M7:M26))</f>
        <v/>
      </c>
      <c r="N30" s="19">
        <f>SUMPRODUCT(($A$7:$A$26=1)*($C$7:$C$26="Good")*(N7:N26))</f>
        <v/>
      </c>
      <c r="O30" s="19">
        <f>SUMPRODUCT(($A$7:$A$26=1)*($C$7:$C$26="Good")*(O7:O26))</f>
        <v/>
      </c>
      <c r="P30" s="19">
        <f>SUMPRODUCT(($A$7:$A$26=1)*($C$7:$C$26="Good")*(P7:P26))</f>
        <v/>
      </c>
      <c r="Q30" s="19">
        <f>SUMPRODUCT(($A$7:$A$26=1)*($C$7:$C$26="Good")*(Q7:Q26))</f>
        <v/>
      </c>
      <c r="R30" s="19">
        <f>SUMPRODUCT(($A$7:$A$26=1)*($C$7:$C$26="Good")*(R7:R26))</f>
        <v/>
      </c>
      <c r="S30" s="19">
        <f>SUMPRODUCT(($A$7:$A$26=1)*($C$7:$C$26="Good")*(S7:S26))</f>
        <v/>
      </c>
      <c r="T30" s="19">
        <f>SUMPRODUCT(($A$7:$A$26=1)*($C$7:$C$26="Good")*(T7:T26))</f>
        <v/>
      </c>
      <c r="U30" s="19">
        <f>SUMPRODUCT(($A$7:$A$26=1)*($C$7:$C$26="Good")*(U7:U26))</f>
        <v/>
      </c>
      <c r="V30" s="19">
        <f>SUMPRODUCT(($A$7:$A$26=1)*($C$7:$C$26="Good")*(V7:V26))</f>
        <v/>
      </c>
      <c r="W30" s="19">
        <f>SUMPRODUCT(($A$7:$A$26=1)*($C$7:$C$26="Good")*(W7:W26))</f>
        <v/>
      </c>
      <c r="X30" s="19">
        <f>SUMPRODUCT(($A$7:$A$26=1)*($C$7:$C$26="Good")*(X7:X26))</f>
        <v/>
      </c>
      <c r="Y30" s="19">
        <f>SUMPRODUCT(($A$7:$A$26=1)*($C$7:$C$26="Good")*(Y7:Y26))</f>
        <v/>
      </c>
      <c r="Z30" s="19">
        <f>SUMPRODUCT(($A$7:$A$26=1)*($C$7:$C$26="Good")*(Z7:Z26))</f>
        <v/>
      </c>
      <c r="AA30" s="19">
        <f>SUMPRODUCT(($A$7:$A$26=1)*($C$7:$C$26="Good")*(AA7:AA26))</f>
        <v/>
      </c>
      <c r="AB30" s="19">
        <f>SUMPRODUCT(($A$7:$A$26=1)*($C$7:$C$26="Good")*(AB7:AB26))</f>
        <v/>
      </c>
      <c r="AC30" s="19">
        <f>SUMPRODUCT(($A$7:$A$26=1)*($C$7:$C$26="Good")*(AC7:AC26))</f>
        <v/>
      </c>
      <c r="AD30" s="19">
        <f>SUMPRODUCT(($A$7:$A$26=1)*($C$7:$C$26="Good")*(AD7:AD26))</f>
        <v/>
      </c>
      <c r="AE30" s="19">
        <f>SUMPRODUCT(($A$7:$A$26=1)*($C$7:$C$26="Good")*(AE7:AE26))</f>
        <v/>
      </c>
      <c r="AF30" s="19">
        <f>SUMPRODUCT(($A$7:$A$26=1)*($C$7:$C$26="Good")*(AF7:AF26))</f>
        <v/>
      </c>
      <c r="AG30" s="19">
        <f>SUMPRODUCT(($A$7:$A$26=1)*($C$7:$C$26="Good")*(AG7:AG26))</f>
        <v/>
      </c>
      <c r="AH30" s="19">
        <f>SUMPRODUCT(($A$7:$A$26=1)*($C$7:$C$26="Good")*(AH7:AH26))</f>
        <v/>
      </c>
      <c r="AI30" s="19">
        <f>SUMPRODUCT(($A$7:$A$26=1)*($C$7:$C$26="Good")*(AI7:AI26))</f>
        <v/>
      </c>
      <c r="AL30" s="24" t="inlineStr">
        <is>
          <t>Monthly totals</t>
        </is>
      </c>
    </row>
    <row r="31">
      <c r="A31" s="8" t="inlineStr">
        <is>
          <t>Bad habits happened</t>
        </is>
      </c>
      <c r="E31" s="19">
        <f>SUMPRODUCT(($A$7:$A$26=1)*($C$7:$C$26="Bad")*(E7:E26))</f>
        <v/>
      </c>
      <c r="F31" s="19">
        <f>SUMPRODUCT(($A$7:$A$26=1)*($C$7:$C$26="Bad")*(F7:F26))</f>
        <v/>
      </c>
      <c r="G31" s="19">
        <f>SUMPRODUCT(($A$7:$A$26=1)*($C$7:$C$26="Bad")*(G7:G26))</f>
        <v/>
      </c>
      <c r="H31" s="19">
        <f>SUMPRODUCT(($A$7:$A$26=1)*($C$7:$C$26="Bad")*(H7:H26))</f>
        <v/>
      </c>
      <c r="I31" s="19">
        <f>SUMPRODUCT(($A$7:$A$26=1)*($C$7:$C$26="Bad")*(I7:I26))</f>
        <v/>
      </c>
      <c r="J31" s="19">
        <f>SUMPRODUCT(($A$7:$A$26=1)*($C$7:$C$26="Bad")*(J7:J26))</f>
        <v/>
      </c>
      <c r="K31" s="19">
        <f>SUMPRODUCT(($A$7:$A$26=1)*($C$7:$C$26="Bad")*(K7:K26))</f>
        <v/>
      </c>
      <c r="L31" s="19">
        <f>SUMPRODUCT(($A$7:$A$26=1)*($C$7:$C$26="Bad")*(L7:L26))</f>
        <v/>
      </c>
      <c r="M31" s="19">
        <f>SUMPRODUCT(($A$7:$A$26=1)*($C$7:$C$26="Bad")*(M7:M26))</f>
        <v/>
      </c>
      <c r="N31" s="19">
        <f>SUMPRODUCT(($A$7:$A$26=1)*($C$7:$C$26="Bad")*(N7:N26))</f>
        <v/>
      </c>
      <c r="O31" s="19">
        <f>SUMPRODUCT(($A$7:$A$26=1)*($C$7:$C$26="Bad")*(O7:O26))</f>
        <v/>
      </c>
      <c r="P31" s="19">
        <f>SUMPRODUCT(($A$7:$A$26=1)*($C$7:$C$26="Bad")*(P7:P26))</f>
        <v/>
      </c>
      <c r="Q31" s="19">
        <f>SUMPRODUCT(($A$7:$A$26=1)*($C$7:$C$26="Bad")*(Q7:Q26))</f>
        <v/>
      </c>
      <c r="R31" s="19">
        <f>SUMPRODUCT(($A$7:$A$26=1)*($C$7:$C$26="Bad")*(R7:R26))</f>
        <v/>
      </c>
      <c r="S31" s="19">
        <f>SUMPRODUCT(($A$7:$A$26=1)*($C$7:$C$26="Bad")*(S7:S26))</f>
        <v/>
      </c>
      <c r="T31" s="19">
        <f>SUMPRODUCT(($A$7:$A$26=1)*($C$7:$C$26="Bad")*(T7:T26))</f>
        <v/>
      </c>
      <c r="U31" s="19">
        <f>SUMPRODUCT(($A$7:$A$26=1)*($C$7:$C$26="Bad")*(U7:U26))</f>
        <v/>
      </c>
      <c r="V31" s="19">
        <f>SUMPRODUCT(($A$7:$A$26=1)*($C$7:$C$26="Bad")*(V7:V26))</f>
        <v/>
      </c>
      <c r="W31" s="19">
        <f>SUMPRODUCT(($A$7:$A$26=1)*($C$7:$C$26="Bad")*(W7:W26))</f>
        <v/>
      </c>
      <c r="X31" s="19">
        <f>SUMPRODUCT(($A$7:$A$26=1)*($C$7:$C$26="Bad")*(X7:X26))</f>
        <v/>
      </c>
      <c r="Y31" s="19">
        <f>SUMPRODUCT(($A$7:$A$26=1)*($C$7:$C$26="Bad")*(Y7:Y26))</f>
        <v/>
      </c>
      <c r="Z31" s="19">
        <f>SUMPRODUCT(($A$7:$A$26=1)*($C$7:$C$26="Bad")*(Z7:Z26))</f>
        <v/>
      </c>
      <c r="AA31" s="19">
        <f>SUMPRODUCT(($A$7:$A$26=1)*($C$7:$C$26="Bad")*(AA7:AA26))</f>
        <v/>
      </c>
      <c r="AB31" s="19">
        <f>SUMPRODUCT(($A$7:$A$26=1)*($C$7:$C$26="Bad")*(AB7:AB26))</f>
        <v/>
      </c>
      <c r="AC31" s="19">
        <f>SUMPRODUCT(($A$7:$A$26=1)*($C$7:$C$26="Bad")*(AC7:AC26))</f>
        <v/>
      </c>
      <c r="AD31" s="19">
        <f>SUMPRODUCT(($A$7:$A$26=1)*($C$7:$C$26="Bad")*(AD7:AD26))</f>
        <v/>
      </c>
      <c r="AE31" s="19">
        <f>SUMPRODUCT(($A$7:$A$26=1)*($C$7:$C$26="Bad")*(AE7:AE26))</f>
        <v/>
      </c>
      <c r="AF31" s="19">
        <f>SUMPRODUCT(($A$7:$A$26=1)*($C$7:$C$26="Bad")*(AF7:AF26))</f>
        <v/>
      </c>
      <c r="AG31" s="19">
        <f>SUMPRODUCT(($A$7:$A$26=1)*($C$7:$C$26="Bad")*(AG7:AG26))</f>
        <v/>
      </c>
      <c r="AH31" s="19">
        <f>SUMPRODUCT(($A$7:$A$26=1)*($C$7:$C$26="Bad")*(AH7:AH26))</f>
        <v/>
      </c>
      <c r="AI31" s="19">
        <f>SUMPRODUCT(($A$7:$A$26=1)*($C$7:$C$26="Bad")*(AI7:AI26))</f>
        <v/>
      </c>
      <c r="AL31" s="10" t="inlineStr">
        <is>
          <t>Good done</t>
        </is>
      </c>
      <c r="AM31" s="25">
        <f>SUMPRODUCT(($E$6:$AI$6&lt;=$B$3)*(E30:AI30))</f>
        <v/>
      </c>
    </row>
    <row r="32">
      <c r="A32" s="8" t="inlineStr">
        <is>
          <t>Net score</t>
        </is>
      </c>
      <c r="E32" s="19">
        <f>SUMPRODUCT(($A$7:$A$26=1)*($D$7:$D$26)*(E7:E26))</f>
        <v/>
      </c>
      <c r="F32" s="19">
        <f>SUMPRODUCT(($A$7:$A$26=1)*($D$7:$D$26)*(F7:F26))</f>
        <v/>
      </c>
      <c r="G32" s="19">
        <f>SUMPRODUCT(($A$7:$A$26=1)*($D$7:$D$26)*(G7:G26))</f>
        <v/>
      </c>
      <c r="H32" s="19">
        <f>SUMPRODUCT(($A$7:$A$26=1)*($D$7:$D$26)*(H7:H26))</f>
        <v/>
      </c>
      <c r="I32" s="19">
        <f>SUMPRODUCT(($A$7:$A$26=1)*($D$7:$D$26)*(I7:I26))</f>
        <v/>
      </c>
      <c r="J32" s="19">
        <f>SUMPRODUCT(($A$7:$A$26=1)*($D$7:$D$26)*(J7:J26))</f>
        <v/>
      </c>
      <c r="K32" s="19">
        <f>SUMPRODUCT(($A$7:$A$26=1)*($D$7:$D$26)*(K7:K26))</f>
        <v/>
      </c>
      <c r="L32" s="19">
        <f>SUMPRODUCT(($A$7:$A$26=1)*($D$7:$D$26)*(L7:L26))</f>
        <v/>
      </c>
      <c r="M32" s="19">
        <f>SUMPRODUCT(($A$7:$A$26=1)*($D$7:$D$26)*(M7:M26))</f>
        <v/>
      </c>
      <c r="N32" s="19">
        <f>SUMPRODUCT(($A$7:$A$26=1)*($D$7:$D$26)*(N7:N26))</f>
        <v/>
      </c>
      <c r="O32" s="19">
        <f>SUMPRODUCT(($A$7:$A$26=1)*($D$7:$D$26)*(O7:O26))</f>
        <v/>
      </c>
      <c r="P32" s="19">
        <f>SUMPRODUCT(($A$7:$A$26=1)*($D$7:$D$26)*(P7:P26))</f>
        <v/>
      </c>
      <c r="Q32" s="19">
        <f>SUMPRODUCT(($A$7:$A$26=1)*($D$7:$D$26)*(Q7:Q26))</f>
        <v/>
      </c>
      <c r="R32" s="19">
        <f>SUMPRODUCT(($A$7:$A$26=1)*($D$7:$D$26)*(R7:R26))</f>
        <v/>
      </c>
      <c r="S32" s="19">
        <f>SUMPRODUCT(($A$7:$A$26=1)*($D$7:$D$26)*(S7:S26))</f>
        <v/>
      </c>
      <c r="T32" s="19">
        <f>SUMPRODUCT(($A$7:$A$26=1)*($D$7:$D$26)*(T7:T26))</f>
        <v/>
      </c>
      <c r="U32" s="19">
        <f>SUMPRODUCT(($A$7:$A$26=1)*($D$7:$D$26)*(U7:U26))</f>
        <v/>
      </c>
      <c r="V32" s="19">
        <f>SUMPRODUCT(($A$7:$A$26=1)*($D$7:$D$26)*(V7:V26))</f>
        <v/>
      </c>
      <c r="W32" s="19">
        <f>SUMPRODUCT(($A$7:$A$26=1)*($D$7:$D$26)*(W7:W26))</f>
        <v/>
      </c>
      <c r="X32" s="19">
        <f>SUMPRODUCT(($A$7:$A$26=1)*($D$7:$D$26)*(X7:X26))</f>
        <v/>
      </c>
      <c r="Y32" s="19">
        <f>SUMPRODUCT(($A$7:$A$26=1)*($D$7:$D$26)*(Y7:Y26))</f>
        <v/>
      </c>
      <c r="Z32" s="19">
        <f>SUMPRODUCT(($A$7:$A$26=1)*($D$7:$D$26)*(Z7:Z26))</f>
        <v/>
      </c>
      <c r="AA32" s="19">
        <f>SUMPRODUCT(($A$7:$A$26=1)*($D$7:$D$26)*(AA7:AA26))</f>
        <v/>
      </c>
      <c r="AB32" s="19">
        <f>SUMPRODUCT(($A$7:$A$26=1)*($D$7:$D$26)*(AB7:AB26))</f>
        <v/>
      </c>
      <c r="AC32" s="19">
        <f>SUMPRODUCT(($A$7:$A$26=1)*($D$7:$D$26)*(AC7:AC26))</f>
        <v/>
      </c>
      <c r="AD32" s="19">
        <f>SUMPRODUCT(($A$7:$A$26=1)*($D$7:$D$26)*(AD7:AD26))</f>
        <v/>
      </c>
      <c r="AE32" s="19">
        <f>SUMPRODUCT(($A$7:$A$26=1)*($D$7:$D$26)*(AE7:AE26))</f>
        <v/>
      </c>
      <c r="AF32" s="19">
        <f>SUMPRODUCT(($A$7:$A$26=1)*($D$7:$D$26)*(AF7:AF26))</f>
        <v/>
      </c>
      <c r="AG32" s="19">
        <f>SUMPRODUCT(($A$7:$A$26=1)*($D$7:$D$26)*(AG7:AG26))</f>
        <v/>
      </c>
      <c r="AH32" s="19">
        <f>SUMPRODUCT(($A$7:$A$26=1)*($D$7:$D$26)*(AH7:AH26))</f>
        <v/>
      </c>
      <c r="AI32" s="19">
        <f>SUMPRODUCT(($A$7:$A$26=1)*($D$7:$D$26)*(AI7:AI26))</f>
        <v/>
      </c>
      <c r="AL32" s="10" t="inlineStr">
        <is>
          <t>Bad happened</t>
        </is>
      </c>
      <c r="AM32" s="25">
        <f>SUMPRODUCT(($E$6:$AI$6&lt;=$B$3)*(E31:AI31))</f>
        <v/>
      </c>
    </row>
    <row r="33">
      <c r="A33" s="8" t="inlineStr">
        <is>
          <t>Completion % (Good only)</t>
        </is>
      </c>
      <c r="E33" s="26">
        <f>IF(SUMPRODUCT(($A$7:$A$26=1)*($C$7:$C$26="Good"))=0,"",SUMPRODUCT(($A$7:$A$26=1)*($C$7:$C$26="Good")*(E7:E26))/SUMPRODUCT(($A$7:$A$26=1)*($C$7:$C$26="Good")))</f>
        <v/>
      </c>
      <c r="F33" s="26">
        <f>IF(SUMPRODUCT(($A$7:$A$26=1)*($C$7:$C$26="Good"))=0,"",SUMPRODUCT(($A$7:$A$26=1)*($C$7:$C$26="Good")*(F7:F26))/SUMPRODUCT(($A$7:$A$26=1)*($C$7:$C$26="Good")))</f>
        <v/>
      </c>
      <c r="G33" s="26">
        <f>IF(SUMPRODUCT(($A$7:$A$26=1)*($C$7:$C$26="Good"))=0,"",SUMPRODUCT(($A$7:$A$26=1)*($C$7:$C$26="Good")*(G7:G26))/SUMPRODUCT(($A$7:$A$26=1)*($C$7:$C$26="Good")))</f>
        <v/>
      </c>
      <c r="H33" s="26">
        <f>IF(SUMPRODUCT(($A$7:$A$26=1)*($C$7:$C$26="Good"))=0,"",SUMPRODUCT(($A$7:$A$26=1)*($C$7:$C$26="Good")*(H7:H26))/SUMPRODUCT(($A$7:$A$26=1)*($C$7:$C$26="Good")))</f>
        <v/>
      </c>
      <c r="I33" s="26">
        <f>IF(SUMPRODUCT(($A$7:$A$26=1)*($C$7:$C$26="Good"))=0,"",SUMPRODUCT(($A$7:$A$26=1)*($C$7:$C$26="Good")*(I7:I26))/SUMPRODUCT(($A$7:$A$26=1)*($C$7:$C$26="Good")))</f>
        <v/>
      </c>
      <c r="J33" s="26">
        <f>IF(SUMPRODUCT(($A$7:$A$26=1)*($C$7:$C$26="Good"))=0,"",SUMPRODUCT(($A$7:$A$26=1)*($C$7:$C$26="Good")*(J7:J26))/SUMPRODUCT(($A$7:$A$26=1)*($C$7:$C$26="Good")))</f>
        <v/>
      </c>
      <c r="K33" s="26">
        <f>IF(SUMPRODUCT(($A$7:$A$26=1)*($C$7:$C$26="Good"))=0,"",SUMPRODUCT(($A$7:$A$26=1)*($C$7:$C$26="Good")*(K7:K26))/SUMPRODUCT(($A$7:$A$26=1)*($C$7:$C$26="Good")))</f>
        <v/>
      </c>
      <c r="L33" s="26">
        <f>IF(SUMPRODUCT(($A$7:$A$26=1)*($C$7:$C$26="Good"))=0,"",SUMPRODUCT(($A$7:$A$26=1)*($C$7:$C$26="Good")*(L7:L26))/SUMPRODUCT(($A$7:$A$26=1)*($C$7:$C$26="Good")))</f>
        <v/>
      </c>
      <c r="M33" s="26">
        <f>IF(SUMPRODUCT(($A$7:$A$26=1)*($C$7:$C$26="Good"))=0,"",SUMPRODUCT(($A$7:$A$26=1)*($C$7:$C$26="Good")*(M7:M26))/SUMPRODUCT(($A$7:$A$26=1)*($C$7:$C$26="Good")))</f>
        <v/>
      </c>
      <c r="N33" s="26">
        <f>IF(SUMPRODUCT(($A$7:$A$26=1)*($C$7:$C$26="Good"))=0,"",SUMPRODUCT(($A$7:$A$26=1)*($C$7:$C$26="Good")*(N7:N26))/SUMPRODUCT(($A$7:$A$26=1)*($C$7:$C$26="Good")))</f>
        <v/>
      </c>
      <c r="O33" s="26">
        <f>IF(SUMPRODUCT(($A$7:$A$26=1)*($C$7:$C$26="Good"))=0,"",SUMPRODUCT(($A$7:$A$26=1)*($C$7:$C$26="Good")*(O7:O26))/SUMPRODUCT(($A$7:$A$26=1)*($C$7:$C$26="Good")))</f>
        <v/>
      </c>
      <c r="P33" s="26">
        <f>IF(SUMPRODUCT(($A$7:$A$26=1)*($C$7:$C$26="Good"))=0,"",SUMPRODUCT(($A$7:$A$26=1)*($C$7:$C$26="Good")*(P7:P26))/SUMPRODUCT(($A$7:$A$26=1)*($C$7:$C$26="Good")))</f>
        <v/>
      </c>
      <c r="Q33" s="26">
        <f>IF(SUMPRODUCT(($A$7:$A$26=1)*($C$7:$C$26="Good"))=0,"",SUMPRODUCT(($A$7:$A$26=1)*($C$7:$C$26="Good")*(Q7:Q26))/SUMPRODUCT(($A$7:$A$26=1)*($C$7:$C$26="Good")))</f>
        <v/>
      </c>
      <c r="R33" s="26">
        <f>IF(SUMPRODUCT(($A$7:$A$26=1)*($C$7:$C$26="Good"))=0,"",SUMPRODUCT(($A$7:$A$26=1)*($C$7:$C$26="Good")*(R7:R26))/SUMPRODUCT(($A$7:$A$26=1)*($C$7:$C$26="Good")))</f>
        <v/>
      </c>
      <c r="S33" s="26">
        <f>IF(SUMPRODUCT(($A$7:$A$26=1)*($C$7:$C$26="Good"))=0,"",SUMPRODUCT(($A$7:$A$26=1)*($C$7:$C$26="Good")*(S7:S26))/SUMPRODUCT(($A$7:$A$26=1)*($C$7:$C$26="Good")))</f>
        <v/>
      </c>
      <c r="T33" s="26">
        <f>IF(SUMPRODUCT(($A$7:$A$26=1)*($C$7:$C$26="Good"))=0,"",SUMPRODUCT(($A$7:$A$26=1)*($C$7:$C$26="Good")*(T7:T26))/SUMPRODUCT(($A$7:$A$26=1)*($C$7:$C$26="Good")))</f>
        <v/>
      </c>
      <c r="U33" s="26">
        <f>IF(SUMPRODUCT(($A$7:$A$26=1)*($C$7:$C$26="Good"))=0,"",SUMPRODUCT(($A$7:$A$26=1)*($C$7:$C$26="Good")*(U7:U26))/SUMPRODUCT(($A$7:$A$26=1)*($C$7:$C$26="Good")))</f>
        <v/>
      </c>
      <c r="V33" s="26">
        <f>IF(SUMPRODUCT(($A$7:$A$26=1)*($C$7:$C$26="Good"))=0,"",SUMPRODUCT(($A$7:$A$26=1)*($C$7:$C$26="Good")*(V7:V26))/SUMPRODUCT(($A$7:$A$26=1)*($C$7:$C$26="Good")))</f>
        <v/>
      </c>
      <c r="W33" s="26">
        <f>IF(SUMPRODUCT(($A$7:$A$26=1)*($C$7:$C$26="Good"))=0,"",SUMPRODUCT(($A$7:$A$26=1)*($C$7:$C$26="Good")*(W7:W26))/SUMPRODUCT(($A$7:$A$26=1)*($C$7:$C$26="Good")))</f>
        <v/>
      </c>
      <c r="X33" s="26">
        <f>IF(SUMPRODUCT(($A$7:$A$26=1)*($C$7:$C$26="Good"))=0,"",SUMPRODUCT(($A$7:$A$26=1)*($C$7:$C$26="Good")*(X7:X26))/SUMPRODUCT(($A$7:$A$26=1)*($C$7:$C$26="Good")))</f>
        <v/>
      </c>
      <c r="Y33" s="26">
        <f>IF(SUMPRODUCT(($A$7:$A$26=1)*($C$7:$C$26="Good"))=0,"",SUMPRODUCT(($A$7:$A$26=1)*($C$7:$C$26="Good")*(Y7:Y26))/SUMPRODUCT(($A$7:$A$26=1)*($C$7:$C$26="Good")))</f>
        <v/>
      </c>
      <c r="Z33" s="26">
        <f>IF(SUMPRODUCT(($A$7:$A$26=1)*($C$7:$C$26="Good"))=0,"",SUMPRODUCT(($A$7:$A$26=1)*($C$7:$C$26="Good")*(Z7:Z26))/SUMPRODUCT(($A$7:$A$26=1)*($C$7:$C$26="Good")))</f>
        <v/>
      </c>
      <c r="AA33" s="26">
        <f>IF(SUMPRODUCT(($A$7:$A$26=1)*($C$7:$C$26="Good"))=0,"",SUMPRODUCT(($A$7:$A$26=1)*($C$7:$C$26="Good")*(AA7:AA26))/SUMPRODUCT(($A$7:$A$26=1)*($C$7:$C$26="Good")))</f>
        <v/>
      </c>
      <c r="AB33" s="26">
        <f>IF(SUMPRODUCT(($A$7:$A$26=1)*($C$7:$C$26="Good"))=0,"",SUMPRODUCT(($A$7:$A$26=1)*($C$7:$C$26="Good")*(AB7:AB26))/SUMPRODUCT(($A$7:$A$26=1)*($C$7:$C$26="Good")))</f>
        <v/>
      </c>
      <c r="AC33" s="26">
        <f>IF(SUMPRODUCT(($A$7:$A$26=1)*($C$7:$C$26="Good"))=0,"",SUMPRODUCT(($A$7:$A$26=1)*($C$7:$C$26="Good")*(AC7:AC26))/SUMPRODUCT(($A$7:$A$26=1)*($C$7:$C$26="Good")))</f>
        <v/>
      </c>
      <c r="AD33" s="26">
        <f>IF(SUMPRODUCT(($A$7:$A$26=1)*($C$7:$C$26="Good"))=0,"",SUMPRODUCT(($A$7:$A$26=1)*($C$7:$C$26="Good")*(AD7:AD26))/SUMPRODUCT(($A$7:$A$26=1)*($C$7:$C$26="Good")))</f>
        <v/>
      </c>
      <c r="AE33" s="26">
        <f>IF(SUMPRODUCT(($A$7:$A$26=1)*($C$7:$C$26="Good"))=0,"",SUMPRODUCT(($A$7:$A$26=1)*($C$7:$C$26="Good")*(AE7:AE26))/SUMPRODUCT(($A$7:$A$26=1)*($C$7:$C$26="Good")))</f>
        <v/>
      </c>
      <c r="AF33" s="26">
        <f>IF(SUMPRODUCT(($A$7:$A$26=1)*($C$7:$C$26="Good"))=0,"",SUMPRODUCT(($A$7:$A$26=1)*($C$7:$C$26="Good")*(AF7:AF26))/SUMPRODUCT(($A$7:$A$26=1)*($C$7:$C$26="Good")))</f>
        <v/>
      </c>
      <c r="AG33" s="26">
        <f>IF(SUMPRODUCT(($A$7:$A$26=1)*($C$7:$C$26="Good"))=0,"",SUMPRODUCT(($A$7:$A$26=1)*($C$7:$C$26="Good")*(AG7:AG26))/SUMPRODUCT(($A$7:$A$26=1)*($C$7:$C$26="Good")))</f>
        <v/>
      </c>
      <c r="AH33" s="26">
        <f>IF(SUMPRODUCT(($A$7:$A$26=1)*($C$7:$C$26="Good"))=0,"",SUMPRODUCT(($A$7:$A$26=1)*($C$7:$C$26="Good")*(AH7:AH26))/SUMPRODUCT(($A$7:$A$26=1)*($C$7:$C$26="Good")))</f>
        <v/>
      </c>
      <c r="AI33" s="26">
        <f>IF(SUMPRODUCT(($A$7:$A$26=1)*($C$7:$C$26="Good"))=0,"",SUMPRODUCT(($A$7:$A$26=1)*($C$7:$C$26="Good")*(AI7:AI26))/SUMPRODUCT(($A$7:$A$26=1)*($C$7:$C$26="Good")))</f>
        <v/>
      </c>
      <c r="AL33" s="10" t="inlineStr">
        <is>
          <t>Net score</t>
        </is>
      </c>
      <c r="AM33" s="25">
        <f>SUMPRODUCT(($E$6:$AI$6&lt;=$B$3)*(E32:AI32))</f>
        <v/>
      </c>
    </row>
    <row r="34">
      <c r="AL34" s="10" t="inlineStr">
        <is>
          <t>Avg completion (Good)</t>
        </is>
      </c>
      <c r="AM34" s="27">
        <f>AVERAGEIF($E$6:$AI$6,"&lt;="&amp;$B$3,E33:AI33)</f>
        <v/>
      </c>
    </row>
  </sheetData>
  <mergeCells count="6">
    <mergeCell ref="A31:D31"/>
    <mergeCell ref="A1:AI1"/>
    <mergeCell ref="A30:D30"/>
    <mergeCell ref="A29:D29"/>
    <mergeCell ref="A33:D33"/>
    <mergeCell ref="A32:D32"/>
  </mergeCells>
  <conditionalFormatting sqref="E7:AI26">
    <cfRule type="expression" priority="1" dxfId="0">
      <formula>E7=1</formula>
    </cfRule>
  </conditionalFormatting>
  <conditionalFormatting sqref="E5:E33">
    <cfRule type="expression" priority="2" dxfId="1">
      <formula>E$6&gt;$B$3</formula>
    </cfRule>
  </conditionalFormatting>
  <conditionalFormatting sqref="F5:F33">
    <cfRule type="expression" priority="3" dxfId="1">
      <formula>F$6&gt;$B$3</formula>
    </cfRule>
  </conditionalFormatting>
  <conditionalFormatting sqref="G5:G33">
    <cfRule type="expression" priority="4" dxfId="1">
      <formula>G$6&gt;$B$3</formula>
    </cfRule>
  </conditionalFormatting>
  <conditionalFormatting sqref="H5:H33">
    <cfRule type="expression" priority="5" dxfId="1">
      <formula>H$6&gt;$B$3</formula>
    </cfRule>
  </conditionalFormatting>
  <conditionalFormatting sqref="I5:I33">
    <cfRule type="expression" priority="6" dxfId="1">
      <formula>I$6&gt;$B$3</formula>
    </cfRule>
  </conditionalFormatting>
  <conditionalFormatting sqref="J5:J33">
    <cfRule type="expression" priority="7" dxfId="1">
      <formula>J$6&gt;$B$3</formula>
    </cfRule>
  </conditionalFormatting>
  <conditionalFormatting sqref="K5:K33">
    <cfRule type="expression" priority="8" dxfId="1">
      <formula>K$6&gt;$B$3</formula>
    </cfRule>
  </conditionalFormatting>
  <conditionalFormatting sqref="L5:L33">
    <cfRule type="expression" priority="9" dxfId="1">
      <formula>L$6&gt;$B$3</formula>
    </cfRule>
  </conditionalFormatting>
  <conditionalFormatting sqref="M5:M33">
    <cfRule type="expression" priority="10" dxfId="1">
      <formula>M$6&gt;$B$3</formula>
    </cfRule>
  </conditionalFormatting>
  <conditionalFormatting sqref="N5:N33">
    <cfRule type="expression" priority="11" dxfId="1">
      <formula>N$6&gt;$B$3</formula>
    </cfRule>
  </conditionalFormatting>
  <conditionalFormatting sqref="O5:O33">
    <cfRule type="expression" priority="12" dxfId="1">
      <formula>O$6&gt;$B$3</formula>
    </cfRule>
  </conditionalFormatting>
  <conditionalFormatting sqref="P5:P33">
    <cfRule type="expression" priority="13" dxfId="1">
      <formula>P$6&gt;$B$3</formula>
    </cfRule>
  </conditionalFormatting>
  <conditionalFormatting sqref="Q5:Q33">
    <cfRule type="expression" priority="14" dxfId="1">
      <formula>Q$6&gt;$B$3</formula>
    </cfRule>
  </conditionalFormatting>
  <conditionalFormatting sqref="R5:R33">
    <cfRule type="expression" priority="15" dxfId="1">
      <formula>R$6&gt;$B$3</formula>
    </cfRule>
  </conditionalFormatting>
  <conditionalFormatting sqref="S5:S33">
    <cfRule type="expression" priority="16" dxfId="1">
      <formula>S$6&gt;$B$3</formula>
    </cfRule>
  </conditionalFormatting>
  <conditionalFormatting sqref="T5:T33">
    <cfRule type="expression" priority="17" dxfId="1">
      <formula>T$6&gt;$B$3</formula>
    </cfRule>
  </conditionalFormatting>
  <conditionalFormatting sqref="U5:U33">
    <cfRule type="expression" priority="18" dxfId="1">
      <formula>U$6&gt;$B$3</formula>
    </cfRule>
  </conditionalFormatting>
  <conditionalFormatting sqref="V5:V33">
    <cfRule type="expression" priority="19" dxfId="1">
      <formula>V$6&gt;$B$3</formula>
    </cfRule>
  </conditionalFormatting>
  <conditionalFormatting sqref="W5:W33">
    <cfRule type="expression" priority="20" dxfId="1">
      <formula>W$6&gt;$B$3</formula>
    </cfRule>
  </conditionalFormatting>
  <conditionalFormatting sqref="X5:X33">
    <cfRule type="expression" priority="21" dxfId="1">
      <formula>X$6&gt;$B$3</formula>
    </cfRule>
  </conditionalFormatting>
  <conditionalFormatting sqref="Y5:Y33">
    <cfRule type="expression" priority="22" dxfId="1">
      <formula>Y$6&gt;$B$3</formula>
    </cfRule>
  </conditionalFormatting>
  <conditionalFormatting sqref="Z5:Z33">
    <cfRule type="expression" priority="23" dxfId="1">
      <formula>Z$6&gt;$B$3</formula>
    </cfRule>
  </conditionalFormatting>
  <conditionalFormatting sqref="AA5:AA33">
    <cfRule type="expression" priority="24" dxfId="1">
      <formula>AA$6&gt;$B$3</formula>
    </cfRule>
  </conditionalFormatting>
  <conditionalFormatting sqref="AB5:AB33">
    <cfRule type="expression" priority="25" dxfId="1">
      <formula>AB$6&gt;$B$3</formula>
    </cfRule>
  </conditionalFormatting>
  <conditionalFormatting sqref="AC5:AC33">
    <cfRule type="expression" priority="26" dxfId="1">
      <formula>AC$6&gt;$B$3</formula>
    </cfRule>
  </conditionalFormatting>
  <conditionalFormatting sqref="AD5:AD33">
    <cfRule type="expression" priority="27" dxfId="1">
      <formula>AD$6&gt;$B$3</formula>
    </cfRule>
  </conditionalFormatting>
  <conditionalFormatting sqref="AE5:AE33">
    <cfRule type="expression" priority="28" dxfId="1">
      <formula>AE$6&gt;$B$3</formula>
    </cfRule>
  </conditionalFormatting>
  <conditionalFormatting sqref="AF5:AF33">
    <cfRule type="expression" priority="29" dxfId="1">
      <formula>AF$6&gt;$B$3</formula>
    </cfRule>
  </conditionalFormatting>
  <conditionalFormatting sqref="AG5:AG33">
    <cfRule type="expression" priority="30" dxfId="1">
      <formula>AG$6&gt;$B$3</formula>
    </cfRule>
  </conditionalFormatting>
  <conditionalFormatting sqref="AH5:AH33">
    <cfRule type="expression" priority="31" dxfId="1">
      <formula>AH$6&gt;$B$3</formula>
    </cfRule>
  </conditionalFormatting>
  <conditionalFormatting sqref="AI5:AI33">
    <cfRule type="expression" priority="32" dxfId="1">
      <formula>AI$6&gt;$B$3</formula>
    </cfRule>
  </conditionalFormatting>
  <dataValidations count="1">
    <dataValidation sqref="E7 E8 E9 E10 E11 E12 E13 E14 E15 E16 E17 E18 E19 E20 E21 E22 E23 E24 E25 E26 F7 F8 F9 F10 F11 F12 F13 F14 F15 F16 F17 F18 F19 F20 F21 F22 F23 F24 F25 F26 G7 G8 G9 G10 G11 G12 G13 G14 G15 G16 G17 G18 G19 G20 G21 G22 G23 G24 G25 G26 H7 H8 H9 H10 H11 H12 H13 H14 H15 H16 H17 H18 H19 H20 H21 H22 H23 H24 H25 H26 I7 I8 I9 I10 I11 I12 I13 I14 I15 I16 I17 I18 I19 I20 I21 I22 I23 I24 I25 I26 J7 J8 J9 J10 J11 J12 J13 J14 J15 J16 J17 J18 J19 J20 J21 J22 J23 J24 J25 J26 K7 K8 K9 K10 K11 K12 K13 K14 K15 K16 K17 K18 K19 K20 K21 K22 K23 K24 K25 K26 L7 L8 L9 L10 L11 L12 L13 L14 L15 L16 L17 L18 L19 L20 L21 L22 L23 L24 L25 L26 M7 M8 M9 M10 M11 M12 M13 M14 M15 M16 M17 M18 M19 M20 M21 M22 M23 M24 M25 M26 N7 N8 N9 N10 N11 N12 N13 N14 N15 N16 N17 N18 N19 N20 N21 N22 N23 N24 N25 N26 O7 O8 O9 O10 O11 O12 O13 O14 O15 O16 O17 O18 O19 O20 O21 O22 O23 O24 O25 O26 P7 P8 P9 P10 P11 P12 P13 P14 P15 P16 P17 P18 P19 P20 P21 P22 P23 P24 P25 P26 Q7 Q8 Q9 Q10 Q11 Q12 Q13 Q14 Q15 Q16 Q17 Q18 Q19 Q20 Q21 Q22 Q23 Q24 Q25 Q26 R7 R8 R9 R10 R11 R12 R13 R14 R15 R16 R17 R18 R19 R20 R21 R22 R23 R24 R25 R26 S7 S8 S9 S10 S11 S12 S13 S14 S15 S16 S17 S18 S19 S20 S21 S22 S23 S24 S25 S26 T7 T8 T9 T10 T11 T12 T13 T14 T15 T16 T17 T18 T19 T20 T21 T22 T23 T24 T25 T26 U7 U8 U9 U10 U11 U12 U13 U14 U15 U16 U17 U18 U19 U20 U21 U22 U23 U24 U25 U26 V7 V8 V9 V10 V11 V12 V13 V14 V15 V16 V17 V18 V19 V20 V21 V22 V23 V24 V25 V26 W7 W8 W9 W10 W11 W12 W13 W14 W15 W16 W17 W18 W19 W20 W21 W22 W23 W24 W25 W26 X7 X8 X9 X10 X11 X12 X13 X14 X15 X16 X17 X18 X19 X20 X21 X22 X23 X24 X25 X26 Y7 Y8 Y9 Y10 Y11 Y12 Y13 Y14 Y15 Y16 Y17 Y18 Y19 Y20 Y21 Y22 Y23 Y24 Y25 Y26 Z7 Z8 Z9 Z10 Z11 Z12 Z13 Z14 Z15 Z16 Z17 Z18 Z19 Z20 Z21 Z22 Z23 Z24 Z25 Z26 AA7 AA8 AA9 AA10 AA11 AA12 AA13 AA14 AA15 AA16 AA17 AA18 AA19 AA20 AA21 AA22 AA23 AA24 AA25 AA26 AB7 AB8 AB9 AB10 AB11 AB12 AB13 AB14 AB15 AB16 AB17 AB18 AB19 AB20 AB21 AB22 AB23 AB24 AB25 AB26 AC7 AC8 AC9 AC10 AC11 AC12 AC13 AC14 AC15 AC16 AC17 AC18 AC19 AC20 AC21 AC22 AC23 AC24 AC25 AC26 AD7 AD8 AD9 AD10 AD11 AD12 AD13 AD14 AD15 AD16 AD17 AD18 AD19 AD20 AD21 AD22 AD23 AD24 AD25 AD26 AE7 AE8 AE9 AE10 AE11 AE12 AE13 AE14 AE15 AE16 AE17 AE18 AE19 AE20 AE21 AE22 AE23 AE24 AE25 AE26 AF7 AF8 AF9 AF10 AF11 AF12 AF13 AF14 AF15 AF16 AF17 AF18 AF19 AF20 AF21 AF22 AF23 AF24 AF25 AF26 AG7 AG8 AG9 AG10 AG11 AG12 AG13 AG14 AG15 AG16 AG17 AG18 AG19 AG20 AG21 AG22 AG23 AG24 AG25 AG26 AH7 AH8 AH9 AH10 AH11 AH12 AH13 AH14 AH15 AH16 AH17 AH18 AH19 AH20 AH21 AH22 AH23 AH24 AH25 AH26 AI7 AI8 AI9 AI10 AI11 AI12 AI13 AI14 AI15 AI16 AI17 AI18 AI19 AI20 AI21 AI22 AI23 AI24 AI25 AI26" showDropDown="0" showInputMessage="0" showErrorMessage="0" allowBlank="1" type="list">
      <formula1>"0,1"</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M3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9"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7" customWidth="1" min="36" max="36"/>
    <col width="18" customWidth="1" min="38" max="38"/>
    <col width="12" customWidth="1" min="39" max="39"/>
  </cols>
  <sheetData>
    <row r="1">
      <c r="A1" s="15" t="inlineStr">
        <is>
          <t>Mar Habit Tracker</t>
        </is>
      </c>
    </row>
    <row r="2">
      <c r="A2" s="10" t="inlineStr">
        <is>
          <t>Year:</t>
        </is>
      </c>
      <c r="B2">
        <f>Setup!$B$3</f>
        <v/>
      </c>
      <c r="C2" s="10" t="inlineStr">
        <is>
          <t>Month:</t>
        </is>
      </c>
      <c r="D2" t="inlineStr">
        <is>
          <t>Mar</t>
        </is>
      </c>
    </row>
    <row r="3">
      <c r="A3" s="10" t="inlineStr">
        <is>
          <t>Days in month:</t>
        </is>
      </c>
      <c r="B3">
        <f>DAY(EOMONTH(DATE(Setup!$B$3,3,1),0))</f>
        <v/>
      </c>
    </row>
    <row r="5" ht="18" customHeight="1">
      <c r="E5" s="16">
        <f>TEXT(DATE(Setup!$B$3,3,1),"ddd")</f>
        <v/>
      </c>
      <c r="F5" s="16">
        <f>TEXT(DATE(Setup!$B$3,3,2),"ddd")</f>
        <v/>
      </c>
      <c r="G5" s="16">
        <f>TEXT(DATE(Setup!$B$3,3,3),"ddd")</f>
        <v/>
      </c>
      <c r="H5" s="16">
        <f>TEXT(DATE(Setup!$B$3,3,4),"ddd")</f>
        <v/>
      </c>
      <c r="I5" s="16">
        <f>TEXT(DATE(Setup!$B$3,3,5),"ddd")</f>
        <v/>
      </c>
      <c r="J5" s="16">
        <f>TEXT(DATE(Setup!$B$3,3,6),"ddd")</f>
        <v/>
      </c>
      <c r="K5" s="16">
        <f>TEXT(DATE(Setup!$B$3,3,7),"ddd")</f>
        <v/>
      </c>
      <c r="L5" s="16">
        <f>TEXT(DATE(Setup!$B$3,3,8),"ddd")</f>
        <v/>
      </c>
      <c r="M5" s="16">
        <f>TEXT(DATE(Setup!$B$3,3,9),"ddd")</f>
        <v/>
      </c>
      <c r="N5" s="16">
        <f>TEXT(DATE(Setup!$B$3,3,10),"ddd")</f>
        <v/>
      </c>
      <c r="O5" s="16">
        <f>TEXT(DATE(Setup!$B$3,3,11),"ddd")</f>
        <v/>
      </c>
      <c r="P5" s="16">
        <f>TEXT(DATE(Setup!$B$3,3,12),"ddd")</f>
        <v/>
      </c>
      <c r="Q5" s="16">
        <f>TEXT(DATE(Setup!$B$3,3,13),"ddd")</f>
        <v/>
      </c>
      <c r="R5" s="16">
        <f>TEXT(DATE(Setup!$B$3,3,14),"ddd")</f>
        <v/>
      </c>
      <c r="S5" s="16">
        <f>TEXT(DATE(Setup!$B$3,3,15),"ddd")</f>
        <v/>
      </c>
      <c r="T5" s="16">
        <f>TEXT(DATE(Setup!$B$3,3,16),"ddd")</f>
        <v/>
      </c>
      <c r="U5" s="16">
        <f>TEXT(DATE(Setup!$B$3,3,17),"ddd")</f>
        <v/>
      </c>
      <c r="V5" s="16">
        <f>TEXT(DATE(Setup!$B$3,3,18),"ddd")</f>
        <v/>
      </c>
      <c r="W5" s="16">
        <f>TEXT(DATE(Setup!$B$3,3,19),"ddd")</f>
        <v/>
      </c>
      <c r="X5" s="16">
        <f>TEXT(DATE(Setup!$B$3,3,20),"ddd")</f>
        <v/>
      </c>
      <c r="Y5" s="16">
        <f>TEXT(DATE(Setup!$B$3,3,21),"ddd")</f>
        <v/>
      </c>
      <c r="Z5" s="16">
        <f>TEXT(DATE(Setup!$B$3,3,22),"ddd")</f>
        <v/>
      </c>
      <c r="AA5" s="16">
        <f>TEXT(DATE(Setup!$B$3,3,23),"ddd")</f>
        <v/>
      </c>
      <c r="AB5" s="16">
        <f>TEXT(DATE(Setup!$B$3,3,24),"ddd")</f>
        <v/>
      </c>
      <c r="AC5" s="16">
        <f>TEXT(DATE(Setup!$B$3,3,25),"ddd")</f>
        <v/>
      </c>
      <c r="AD5" s="16">
        <f>TEXT(DATE(Setup!$B$3,3,26),"ddd")</f>
        <v/>
      </c>
      <c r="AE5" s="16">
        <f>TEXT(DATE(Setup!$B$3,3,27),"ddd")</f>
        <v/>
      </c>
      <c r="AF5" s="16">
        <f>TEXT(DATE(Setup!$B$3,3,28),"ddd")</f>
        <v/>
      </c>
      <c r="AG5" s="16">
        <f>TEXT(DATE(Setup!$B$3,3,29),"ddd")</f>
        <v/>
      </c>
      <c r="AH5" s="16">
        <f>TEXT(DATE(Setup!$B$3,3,30),"ddd")</f>
        <v/>
      </c>
      <c r="AI5" s="16">
        <f>TEXT(DATE(Setup!$B$3,3,31),"ddd")</f>
        <v/>
      </c>
    </row>
    <row r="6" ht="18" customHeight="1">
      <c r="A6" s="17" t="inlineStr">
        <is>
          <t>Active</t>
        </is>
      </c>
      <c r="B6" s="17" t="inlineStr">
        <is>
          <t>Habit</t>
        </is>
      </c>
      <c r="C6" s="17" t="inlineStr">
        <is>
          <t>Type</t>
        </is>
      </c>
      <c r="D6" s="17" t="inlineStr">
        <is>
          <t>Points</t>
        </is>
      </c>
      <c r="E6" s="18" t="n">
        <v>1</v>
      </c>
      <c r="F6" s="18" t="n">
        <v>2</v>
      </c>
      <c r="G6" s="18" t="n">
        <v>3</v>
      </c>
      <c r="H6" s="18" t="n">
        <v>4</v>
      </c>
      <c r="I6" s="18" t="n">
        <v>5</v>
      </c>
      <c r="J6" s="18" t="n">
        <v>6</v>
      </c>
      <c r="K6" s="18" t="n">
        <v>7</v>
      </c>
      <c r="L6" s="18" t="n">
        <v>8</v>
      </c>
      <c r="M6" s="18" t="n">
        <v>9</v>
      </c>
      <c r="N6" s="18" t="n">
        <v>10</v>
      </c>
      <c r="O6" s="18" t="n">
        <v>11</v>
      </c>
      <c r="P6" s="18" t="n">
        <v>12</v>
      </c>
      <c r="Q6" s="18" t="n">
        <v>13</v>
      </c>
      <c r="R6" s="18" t="n">
        <v>14</v>
      </c>
      <c r="S6" s="18" t="n">
        <v>15</v>
      </c>
      <c r="T6" s="18" t="n">
        <v>16</v>
      </c>
      <c r="U6" s="18" t="n">
        <v>17</v>
      </c>
      <c r="V6" s="18" t="n">
        <v>18</v>
      </c>
      <c r="W6" s="18" t="n">
        <v>19</v>
      </c>
      <c r="X6" s="18" t="n">
        <v>20</v>
      </c>
      <c r="Y6" s="18" t="n">
        <v>21</v>
      </c>
      <c r="Z6" s="18" t="n">
        <v>22</v>
      </c>
      <c r="AA6" s="18" t="n">
        <v>23</v>
      </c>
      <c r="AB6" s="18" t="n">
        <v>24</v>
      </c>
      <c r="AC6" s="18" t="n">
        <v>25</v>
      </c>
      <c r="AD6" s="18" t="n">
        <v>26</v>
      </c>
      <c r="AE6" s="18" t="n">
        <v>27</v>
      </c>
      <c r="AF6" s="18" t="n">
        <v>28</v>
      </c>
      <c r="AG6" s="18" t="n">
        <v>29</v>
      </c>
      <c r="AH6" s="18" t="n">
        <v>30</v>
      </c>
      <c r="AI6" s="18" t="n">
        <v>31</v>
      </c>
      <c r="AJ6" s="17" t="inlineStr">
        <is>
          <t>Total</t>
        </is>
      </c>
    </row>
    <row r="7">
      <c r="A7" s="19">
        <f>Setup!D9</f>
        <v/>
      </c>
      <c r="B7" s="20">
        <f>Setup!A9</f>
        <v/>
      </c>
      <c r="C7" s="19">
        <f>Setup!B9</f>
        <v/>
      </c>
      <c r="D7" s="19">
        <f>Setup!E9</f>
        <v/>
      </c>
      <c r="E7" s="21" t="inlineStr"/>
      <c r="F7" s="21" t="inlineStr"/>
      <c r="G7" s="21" t="inlineStr"/>
      <c r="H7" s="21" t="inlineStr"/>
      <c r="I7" s="21" t="inlineStr"/>
      <c r="J7" s="21" t="inlineStr"/>
      <c r="K7" s="21" t="inlineStr"/>
      <c r="L7" s="21" t="inlineStr"/>
      <c r="M7" s="21" t="inlineStr"/>
      <c r="N7" s="21" t="inlineStr"/>
      <c r="O7" s="21" t="inlineStr"/>
      <c r="P7" s="21" t="inlineStr"/>
      <c r="Q7" s="21" t="inlineStr"/>
      <c r="R7" s="21" t="inlineStr"/>
      <c r="S7" s="21" t="inlineStr"/>
      <c r="T7" s="21" t="inlineStr"/>
      <c r="U7" s="21" t="inlineStr"/>
      <c r="V7" s="21" t="inlineStr"/>
      <c r="W7" s="21" t="inlineStr"/>
      <c r="X7" s="21" t="inlineStr"/>
      <c r="Y7" s="21" t="inlineStr"/>
      <c r="Z7" s="21" t="inlineStr"/>
      <c r="AA7" s="21" t="inlineStr"/>
      <c r="AB7" s="21" t="inlineStr"/>
      <c r="AC7" s="21" t="inlineStr"/>
      <c r="AD7" s="21" t="inlineStr"/>
      <c r="AE7" s="21" t="inlineStr"/>
      <c r="AF7" s="21" t="inlineStr"/>
      <c r="AG7" s="21" t="inlineStr"/>
      <c r="AH7" s="21" t="inlineStr"/>
      <c r="AI7" s="21" t="inlineStr"/>
      <c r="AJ7" s="22">
        <f>IF($A7=1,SUMPRODUCT(($E$6:$AI$6&lt;=$B$3)*(E7:AI7)),"")</f>
        <v/>
      </c>
    </row>
    <row r="8">
      <c r="A8" s="19">
        <f>Setup!D10</f>
        <v/>
      </c>
      <c r="B8" s="20">
        <f>Setup!A10</f>
        <v/>
      </c>
      <c r="C8" s="19">
        <f>Setup!B10</f>
        <v/>
      </c>
      <c r="D8" s="19">
        <f>Setup!E10</f>
        <v/>
      </c>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2">
        <f>IF($A8=1,SUMPRODUCT(($E$6:$AI$6&lt;=$B$3)*(E8:AI8)),"")</f>
        <v/>
      </c>
    </row>
    <row r="9">
      <c r="A9" s="19">
        <f>Setup!D11</f>
        <v/>
      </c>
      <c r="B9" s="20">
        <f>Setup!A11</f>
        <v/>
      </c>
      <c r="C9" s="19">
        <f>Setup!B11</f>
        <v/>
      </c>
      <c r="D9" s="19">
        <f>Setup!E11</f>
        <v/>
      </c>
      <c r="E9" s="21" t="inlineStr"/>
      <c r="F9" s="21" t="inlineStr"/>
      <c r="G9" s="21" t="inlineStr"/>
      <c r="H9" s="21" t="inlineStr"/>
      <c r="I9" s="21" t="inlineStr"/>
      <c r="J9" s="21" t="inlineStr"/>
      <c r="K9" s="21" t="inlineStr"/>
      <c r="L9" s="21" t="inlineStr"/>
      <c r="M9" s="21" t="inlineStr"/>
      <c r="N9" s="21" t="inlineStr"/>
      <c r="O9" s="21" t="inlineStr"/>
      <c r="P9" s="21" t="inlineStr"/>
      <c r="Q9" s="21" t="inlineStr"/>
      <c r="R9" s="21" t="inlineStr"/>
      <c r="S9" s="21" t="inlineStr"/>
      <c r="T9" s="21" t="inlineStr"/>
      <c r="U9" s="21" t="inlineStr"/>
      <c r="V9" s="21" t="inlineStr"/>
      <c r="W9" s="21" t="inlineStr"/>
      <c r="X9" s="21" t="inlineStr"/>
      <c r="Y9" s="21" t="inlineStr"/>
      <c r="Z9" s="21" t="inlineStr"/>
      <c r="AA9" s="21" t="inlineStr"/>
      <c r="AB9" s="21" t="inlineStr"/>
      <c r="AC9" s="21" t="inlineStr"/>
      <c r="AD9" s="21" t="inlineStr"/>
      <c r="AE9" s="21" t="inlineStr"/>
      <c r="AF9" s="21" t="inlineStr"/>
      <c r="AG9" s="21" t="inlineStr"/>
      <c r="AH9" s="21" t="inlineStr"/>
      <c r="AI9" s="21" t="inlineStr"/>
      <c r="AJ9" s="22">
        <f>IF($A9=1,SUMPRODUCT(($E$6:$AI$6&lt;=$B$3)*(E9:AI9)),"")</f>
        <v/>
      </c>
    </row>
    <row r="10">
      <c r="A10" s="19">
        <f>Setup!D12</f>
        <v/>
      </c>
      <c r="B10" s="20">
        <f>Setup!A12</f>
        <v/>
      </c>
      <c r="C10" s="19">
        <f>Setup!B12</f>
        <v/>
      </c>
      <c r="D10" s="19">
        <f>Setup!E12</f>
        <v/>
      </c>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2">
        <f>IF($A10=1,SUMPRODUCT(($E$6:$AI$6&lt;=$B$3)*(E10:AI10)),"")</f>
        <v/>
      </c>
    </row>
    <row r="11">
      <c r="A11" s="19">
        <f>Setup!D13</f>
        <v/>
      </c>
      <c r="B11" s="20">
        <f>Setup!A13</f>
        <v/>
      </c>
      <c r="C11" s="19">
        <f>Setup!B13</f>
        <v/>
      </c>
      <c r="D11" s="19">
        <f>Setup!E13</f>
        <v/>
      </c>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c r="R11" s="21" t="inlineStr"/>
      <c r="S11" s="21" t="inlineStr"/>
      <c r="T11" s="21" t="inlineStr"/>
      <c r="U11" s="21" t="inlineStr"/>
      <c r="V11" s="21" t="inlineStr"/>
      <c r="W11" s="21" t="inlineStr"/>
      <c r="X11" s="21" t="inlineStr"/>
      <c r="Y11" s="21" t="inlineStr"/>
      <c r="Z11" s="21" t="inlineStr"/>
      <c r="AA11" s="21" t="inlineStr"/>
      <c r="AB11" s="21" t="inlineStr"/>
      <c r="AC11" s="21" t="inlineStr"/>
      <c r="AD11" s="21" t="inlineStr"/>
      <c r="AE11" s="21" t="inlineStr"/>
      <c r="AF11" s="21" t="inlineStr"/>
      <c r="AG11" s="21" t="inlineStr"/>
      <c r="AH11" s="21" t="inlineStr"/>
      <c r="AI11" s="21" t="inlineStr"/>
      <c r="AJ11" s="22">
        <f>IF($A11=1,SUMPRODUCT(($E$6:$AI$6&lt;=$B$3)*(E11:AI11)),"")</f>
        <v/>
      </c>
    </row>
    <row r="12">
      <c r="A12" s="19">
        <f>Setup!D14</f>
        <v/>
      </c>
      <c r="B12" s="20">
        <f>Setup!A14</f>
        <v/>
      </c>
      <c r="C12" s="19">
        <f>Setup!B14</f>
        <v/>
      </c>
      <c r="D12" s="19">
        <f>Setup!E14</f>
        <v/>
      </c>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2">
        <f>IF($A12=1,SUMPRODUCT(($E$6:$AI$6&lt;=$B$3)*(E12:AI12)),"")</f>
        <v/>
      </c>
    </row>
    <row r="13">
      <c r="A13" s="19">
        <f>Setup!D15</f>
        <v/>
      </c>
      <c r="B13" s="20">
        <f>Setup!A15</f>
        <v/>
      </c>
      <c r="C13" s="19">
        <f>Setup!B15</f>
        <v/>
      </c>
      <c r="D13" s="19">
        <f>Setup!E15</f>
        <v/>
      </c>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c r="U13" s="21" t="inlineStr"/>
      <c r="V13" s="21" t="inlineStr"/>
      <c r="W13" s="21" t="inlineStr"/>
      <c r="X13" s="21" t="inlineStr"/>
      <c r="Y13" s="21" t="inlineStr"/>
      <c r="Z13" s="21" t="inlineStr"/>
      <c r="AA13" s="21" t="inlineStr"/>
      <c r="AB13" s="21" t="inlineStr"/>
      <c r="AC13" s="21" t="inlineStr"/>
      <c r="AD13" s="21" t="inlineStr"/>
      <c r="AE13" s="21" t="inlineStr"/>
      <c r="AF13" s="21" t="inlineStr"/>
      <c r="AG13" s="21" t="inlineStr"/>
      <c r="AH13" s="21" t="inlineStr"/>
      <c r="AI13" s="21" t="inlineStr"/>
      <c r="AJ13" s="22">
        <f>IF($A13=1,SUMPRODUCT(($E$6:$AI$6&lt;=$B$3)*(E13:AI13)),"")</f>
        <v/>
      </c>
    </row>
    <row r="14">
      <c r="A14" s="19">
        <f>Setup!D16</f>
        <v/>
      </c>
      <c r="B14" s="20">
        <f>Setup!A16</f>
        <v/>
      </c>
      <c r="C14" s="19">
        <f>Setup!B16</f>
        <v/>
      </c>
      <c r="D14" s="19">
        <f>Setup!E16</f>
        <v/>
      </c>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2">
        <f>IF($A14=1,SUMPRODUCT(($E$6:$AI$6&lt;=$B$3)*(E14:AI14)),"")</f>
        <v/>
      </c>
    </row>
    <row r="15">
      <c r="A15" s="19">
        <f>Setup!D17</f>
        <v/>
      </c>
      <c r="B15" s="20">
        <f>Setup!A17</f>
        <v/>
      </c>
      <c r="C15" s="19">
        <f>Setup!B17</f>
        <v/>
      </c>
      <c r="D15" s="19">
        <f>Setup!E17</f>
        <v/>
      </c>
      <c r="E15" s="21" t="inlineStr"/>
      <c r="F15" s="21" t="inlineStr"/>
      <c r="G15" s="21" t="inlineStr"/>
      <c r="H15" s="21" t="inlineStr"/>
      <c r="I15" s="21" t="inlineStr"/>
      <c r="J15" s="21" t="inlineStr"/>
      <c r="K15" s="21" t="inlineStr"/>
      <c r="L15" s="21" t="inlineStr"/>
      <c r="M15" s="21" t="inlineStr"/>
      <c r="N15" s="21" t="inlineStr"/>
      <c r="O15" s="21" t="inlineStr"/>
      <c r="P15" s="21" t="inlineStr"/>
      <c r="Q15" s="21" t="inlineStr"/>
      <c r="R15" s="21" t="inlineStr"/>
      <c r="S15" s="21" t="inlineStr"/>
      <c r="T15" s="21" t="inlineStr"/>
      <c r="U15" s="21" t="inlineStr"/>
      <c r="V15" s="21" t="inlineStr"/>
      <c r="W15" s="21" t="inlineStr"/>
      <c r="X15" s="21" t="inlineStr"/>
      <c r="Y15" s="21" t="inlineStr"/>
      <c r="Z15" s="21" t="inlineStr"/>
      <c r="AA15" s="21" t="inlineStr"/>
      <c r="AB15" s="21" t="inlineStr"/>
      <c r="AC15" s="21" t="inlineStr"/>
      <c r="AD15" s="21" t="inlineStr"/>
      <c r="AE15" s="21" t="inlineStr"/>
      <c r="AF15" s="21" t="inlineStr"/>
      <c r="AG15" s="21" t="inlineStr"/>
      <c r="AH15" s="21" t="inlineStr"/>
      <c r="AI15" s="21" t="inlineStr"/>
      <c r="AJ15" s="22">
        <f>IF($A15=1,SUMPRODUCT(($E$6:$AI$6&lt;=$B$3)*(E15:AI15)),"")</f>
        <v/>
      </c>
    </row>
    <row r="16">
      <c r="A16" s="19">
        <f>Setup!D18</f>
        <v/>
      </c>
      <c r="B16" s="20">
        <f>Setup!A18</f>
        <v/>
      </c>
      <c r="C16" s="19">
        <f>Setup!B18</f>
        <v/>
      </c>
      <c r="D16" s="19">
        <f>Setup!E18</f>
        <v/>
      </c>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2">
        <f>IF($A16=1,SUMPRODUCT(($E$6:$AI$6&lt;=$B$3)*(E16:AI16)),"")</f>
        <v/>
      </c>
    </row>
    <row r="17">
      <c r="A17" s="19">
        <f>Setup!D19</f>
        <v/>
      </c>
      <c r="B17" s="20">
        <f>Setup!A19</f>
        <v/>
      </c>
      <c r="C17" s="19">
        <f>Setup!B19</f>
        <v/>
      </c>
      <c r="D17" s="19">
        <f>Setup!E19</f>
        <v/>
      </c>
      <c r="E17" s="21" t="inlineStr"/>
      <c r="F17" s="21" t="inlineStr"/>
      <c r="G17" s="21" t="inlineStr"/>
      <c r="H17" s="21" t="inlineStr"/>
      <c r="I17" s="21" t="inlineStr"/>
      <c r="J17" s="21" t="inlineStr"/>
      <c r="K17" s="21" t="inlineStr"/>
      <c r="L17" s="21" t="inlineStr"/>
      <c r="M17" s="21" t="inlineStr"/>
      <c r="N17" s="21" t="inlineStr"/>
      <c r="O17" s="21" t="inlineStr"/>
      <c r="P17" s="21" t="inlineStr"/>
      <c r="Q17" s="21" t="inlineStr"/>
      <c r="R17" s="21" t="inlineStr"/>
      <c r="S17" s="21" t="inlineStr"/>
      <c r="T17" s="21" t="inlineStr"/>
      <c r="U17" s="21" t="inlineStr"/>
      <c r="V17" s="21" t="inlineStr"/>
      <c r="W17" s="21" t="inlineStr"/>
      <c r="X17" s="21" t="inlineStr"/>
      <c r="Y17" s="21" t="inlineStr"/>
      <c r="Z17" s="21" t="inlineStr"/>
      <c r="AA17" s="21" t="inlineStr"/>
      <c r="AB17" s="21" t="inlineStr"/>
      <c r="AC17" s="21" t="inlineStr"/>
      <c r="AD17" s="21" t="inlineStr"/>
      <c r="AE17" s="21" t="inlineStr"/>
      <c r="AF17" s="21" t="inlineStr"/>
      <c r="AG17" s="21" t="inlineStr"/>
      <c r="AH17" s="21" t="inlineStr"/>
      <c r="AI17" s="21" t="inlineStr"/>
      <c r="AJ17" s="22">
        <f>IF($A17=1,SUMPRODUCT(($E$6:$AI$6&lt;=$B$3)*(E17:AI17)),"")</f>
        <v/>
      </c>
    </row>
    <row r="18">
      <c r="A18" s="19">
        <f>Setup!D20</f>
        <v/>
      </c>
      <c r="B18" s="20">
        <f>Setup!A20</f>
        <v/>
      </c>
      <c r="C18" s="19">
        <f>Setup!B20</f>
        <v/>
      </c>
      <c r="D18" s="19">
        <f>Setup!E20</f>
        <v/>
      </c>
      <c r="E18" s="21" t="inlineStr"/>
      <c r="F18" s="21" t="inlineStr"/>
      <c r="G18" s="21" t="inlineStr"/>
      <c r="H18" s="21" t="inlineStr"/>
      <c r="I18" s="21" t="inlineStr"/>
      <c r="J18" s="21" t="inlineStr"/>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2">
        <f>IF($A18=1,SUMPRODUCT(($E$6:$AI$6&lt;=$B$3)*(E18:AI18)),"")</f>
        <v/>
      </c>
    </row>
    <row r="19">
      <c r="A19" s="19">
        <f>Setup!D21</f>
        <v/>
      </c>
      <c r="B19" s="20">
        <f>Setup!A21</f>
        <v/>
      </c>
      <c r="C19" s="19">
        <f>Setup!B21</f>
        <v/>
      </c>
      <c r="D19" s="19">
        <f>Setup!E21</f>
        <v/>
      </c>
      <c r="E19" s="21" t="inlineStr"/>
      <c r="F19" s="21" t="inlineStr"/>
      <c r="G19" s="21" t="inlineStr"/>
      <c r="H19" s="21" t="inlineStr"/>
      <c r="I19" s="21" t="inlineStr"/>
      <c r="J19" s="21" t="inlineStr"/>
      <c r="K19" s="21" t="inlineStr"/>
      <c r="L19" s="21" t="inlineStr"/>
      <c r="M19" s="21" t="inlineStr"/>
      <c r="N19" s="21" t="inlineStr"/>
      <c r="O19" s="21" t="inlineStr"/>
      <c r="P19" s="21" t="inlineStr"/>
      <c r="Q19" s="21" t="inlineStr"/>
      <c r="R19" s="21" t="inlineStr"/>
      <c r="S19" s="21" t="inlineStr"/>
      <c r="T19" s="21" t="inlineStr"/>
      <c r="U19" s="21" t="inlineStr"/>
      <c r="V19" s="21" t="inlineStr"/>
      <c r="W19" s="21" t="inlineStr"/>
      <c r="X19" s="21" t="inlineStr"/>
      <c r="Y19" s="21" t="inlineStr"/>
      <c r="Z19" s="21" t="inlineStr"/>
      <c r="AA19" s="21" t="inlineStr"/>
      <c r="AB19" s="21" t="inlineStr"/>
      <c r="AC19" s="21" t="inlineStr"/>
      <c r="AD19" s="21" t="inlineStr"/>
      <c r="AE19" s="21" t="inlineStr"/>
      <c r="AF19" s="21" t="inlineStr"/>
      <c r="AG19" s="21" t="inlineStr"/>
      <c r="AH19" s="21" t="inlineStr"/>
      <c r="AI19" s="21" t="inlineStr"/>
      <c r="AJ19" s="22">
        <f>IF($A19=1,SUMPRODUCT(($E$6:$AI$6&lt;=$B$3)*(E19:AI19)),"")</f>
        <v/>
      </c>
    </row>
    <row r="20">
      <c r="A20" s="19">
        <f>Setup!D22</f>
        <v/>
      </c>
      <c r="B20" s="20">
        <f>Setup!A22</f>
        <v/>
      </c>
      <c r="C20" s="19">
        <f>Setup!B22</f>
        <v/>
      </c>
      <c r="D20" s="19">
        <f>Setup!E22</f>
        <v/>
      </c>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2">
        <f>IF($A20=1,SUMPRODUCT(($E$6:$AI$6&lt;=$B$3)*(E20:AI20)),"")</f>
        <v/>
      </c>
    </row>
    <row r="21">
      <c r="A21" s="19">
        <f>Setup!D23</f>
        <v/>
      </c>
      <c r="B21" s="20">
        <f>Setup!A23</f>
        <v/>
      </c>
      <c r="C21" s="19">
        <f>Setup!B23</f>
        <v/>
      </c>
      <c r="D21" s="19">
        <f>Setup!E23</f>
        <v/>
      </c>
      <c r="E21" s="21" t="inlineStr"/>
      <c r="F21" s="21" t="inlineStr"/>
      <c r="G21" s="21" t="inlineStr"/>
      <c r="H21" s="21" t="inlineStr"/>
      <c r="I21" s="21" t="inlineStr"/>
      <c r="J21" s="21" t="inlineStr"/>
      <c r="K21" s="21" t="inlineStr"/>
      <c r="L21" s="21" t="inlineStr"/>
      <c r="M21" s="21" t="inlineStr"/>
      <c r="N21" s="21" t="inlineStr"/>
      <c r="O21" s="21" t="inlineStr"/>
      <c r="P21" s="21" t="inlineStr"/>
      <c r="Q21" s="21" t="inlineStr"/>
      <c r="R21" s="21" t="inlineStr"/>
      <c r="S21" s="21" t="inlineStr"/>
      <c r="T21" s="21" t="inlineStr"/>
      <c r="U21" s="21" t="inlineStr"/>
      <c r="V21" s="21" t="inlineStr"/>
      <c r="W21" s="21" t="inlineStr"/>
      <c r="X21" s="21" t="inlineStr"/>
      <c r="Y21" s="21" t="inlineStr"/>
      <c r="Z21" s="21" t="inlineStr"/>
      <c r="AA21" s="21" t="inlineStr"/>
      <c r="AB21" s="21" t="inlineStr"/>
      <c r="AC21" s="21" t="inlineStr"/>
      <c r="AD21" s="21" t="inlineStr"/>
      <c r="AE21" s="21" t="inlineStr"/>
      <c r="AF21" s="21" t="inlineStr"/>
      <c r="AG21" s="21" t="inlineStr"/>
      <c r="AH21" s="21" t="inlineStr"/>
      <c r="AI21" s="21" t="inlineStr"/>
      <c r="AJ21" s="22">
        <f>IF($A21=1,SUMPRODUCT(($E$6:$AI$6&lt;=$B$3)*(E21:AI21)),"")</f>
        <v/>
      </c>
    </row>
    <row r="22">
      <c r="A22" s="19">
        <f>Setup!D24</f>
        <v/>
      </c>
      <c r="B22" s="20">
        <f>Setup!A24</f>
        <v/>
      </c>
      <c r="C22" s="19">
        <f>Setup!B24</f>
        <v/>
      </c>
      <c r="D22" s="19">
        <f>Setup!E24</f>
        <v/>
      </c>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c r="Y22" s="21" t="inlineStr"/>
      <c r="Z22" s="21" t="inlineStr"/>
      <c r="AA22" s="21" t="inlineStr"/>
      <c r="AB22" s="21" t="inlineStr"/>
      <c r="AC22" s="21" t="inlineStr"/>
      <c r="AD22" s="21" t="inlineStr"/>
      <c r="AE22" s="21" t="inlineStr"/>
      <c r="AF22" s="21" t="inlineStr"/>
      <c r="AG22" s="21" t="inlineStr"/>
      <c r="AH22" s="21" t="inlineStr"/>
      <c r="AI22" s="21" t="inlineStr"/>
      <c r="AJ22" s="22">
        <f>IF($A22=1,SUMPRODUCT(($E$6:$AI$6&lt;=$B$3)*(E22:AI22)),"")</f>
        <v/>
      </c>
    </row>
    <row r="23">
      <c r="A23" s="19">
        <f>Setup!D25</f>
        <v/>
      </c>
      <c r="B23" s="20">
        <f>Setup!A25</f>
        <v/>
      </c>
      <c r="C23" s="19">
        <f>Setup!B25</f>
        <v/>
      </c>
      <c r="D23" s="19">
        <f>Setup!E25</f>
        <v/>
      </c>
      <c r="E23" s="21" t="inlineStr"/>
      <c r="F23" s="21" t="inlineStr"/>
      <c r="G23" s="21" t="inlineStr"/>
      <c r="H23" s="21" t="inlineStr"/>
      <c r="I23" s="21" t="inlineStr"/>
      <c r="J23" s="21" t="inlineStr"/>
      <c r="K23" s="21" t="inlineStr"/>
      <c r="L23" s="21" t="inlineStr"/>
      <c r="M23" s="21" t="inlineStr"/>
      <c r="N23" s="21" t="inlineStr"/>
      <c r="O23" s="21" t="inlineStr"/>
      <c r="P23" s="21" t="inlineStr"/>
      <c r="Q23" s="21" t="inlineStr"/>
      <c r="R23" s="21" t="inlineStr"/>
      <c r="S23" s="21" t="inlineStr"/>
      <c r="T23" s="21" t="inlineStr"/>
      <c r="U23" s="21" t="inlineStr"/>
      <c r="V23" s="21" t="inlineStr"/>
      <c r="W23" s="21" t="inlineStr"/>
      <c r="X23" s="21" t="inlineStr"/>
      <c r="Y23" s="21" t="inlineStr"/>
      <c r="Z23" s="21" t="inlineStr"/>
      <c r="AA23" s="21" t="inlineStr"/>
      <c r="AB23" s="21" t="inlineStr"/>
      <c r="AC23" s="21" t="inlineStr"/>
      <c r="AD23" s="21" t="inlineStr"/>
      <c r="AE23" s="21" t="inlineStr"/>
      <c r="AF23" s="21" t="inlineStr"/>
      <c r="AG23" s="21" t="inlineStr"/>
      <c r="AH23" s="21" t="inlineStr"/>
      <c r="AI23" s="21" t="inlineStr"/>
      <c r="AJ23" s="22">
        <f>IF($A23=1,SUMPRODUCT(($E$6:$AI$6&lt;=$B$3)*(E23:AI23)),"")</f>
        <v/>
      </c>
    </row>
    <row r="24">
      <c r="A24" s="19">
        <f>Setup!D26</f>
        <v/>
      </c>
      <c r="B24" s="20">
        <f>Setup!A26</f>
        <v/>
      </c>
      <c r="C24" s="19">
        <f>Setup!B26</f>
        <v/>
      </c>
      <c r="D24" s="19">
        <f>Setup!E26</f>
        <v/>
      </c>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c r="Y24" s="21" t="inlineStr"/>
      <c r="Z24" s="21" t="inlineStr"/>
      <c r="AA24" s="21" t="inlineStr"/>
      <c r="AB24" s="21" t="inlineStr"/>
      <c r="AC24" s="21" t="inlineStr"/>
      <c r="AD24" s="21" t="inlineStr"/>
      <c r="AE24" s="21" t="inlineStr"/>
      <c r="AF24" s="21" t="inlineStr"/>
      <c r="AG24" s="21" t="inlineStr"/>
      <c r="AH24" s="21" t="inlineStr"/>
      <c r="AI24" s="21" t="inlineStr"/>
      <c r="AJ24" s="22">
        <f>IF($A24=1,SUMPRODUCT(($E$6:$AI$6&lt;=$B$3)*(E24:AI24)),"")</f>
        <v/>
      </c>
    </row>
    <row r="25">
      <c r="A25" s="19">
        <f>Setup!D27</f>
        <v/>
      </c>
      <c r="B25" s="20">
        <f>Setup!A27</f>
        <v/>
      </c>
      <c r="C25" s="19">
        <f>Setup!B27</f>
        <v/>
      </c>
      <c r="D25" s="19">
        <f>Setup!E27</f>
        <v/>
      </c>
      <c r="E25" s="21" t="inlineStr"/>
      <c r="F25" s="21" t="inlineStr"/>
      <c r="G25" s="21" t="inlineStr"/>
      <c r="H25" s="21" t="inlineStr"/>
      <c r="I25" s="21" t="inlineStr"/>
      <c r="J25" s="21" t="inlineStr"/>
      <c r="K25" s="21" t="inlineStr"/>
      <c r="L25" s="21" t="inlineStr"/>
      <c r="M25" s="21" t="inlineStr"/>
      <c r="N25" s="21" t="inlineStr"/>
      <c r="O25" s="21" t="inlineStr"/>
      <c r="P25" s="21" t="inlineStr"/>
      <c r="Q25" s="21" t="inlineStr"/>
      <c r="R25" s="21" t="inlineStr"/>
      <c r="S25" s="21" t="inlineStr"/>
      <c r="T25" s="21" t="inlineStr"/>
      <c r="U25" s="21" t="inlineStr"/>
      <c r="V25" s="21" t="inlineStr"/>
      <c r="W25" s="21" t="inlineStr"/>
      <c r="X25" s="21" t="inlineStr"/>
      <c r="Y25" s="21" t="inlineStr"/>
      <c r="Z25" s="21" t="inlineStr"/>
      <c r="AA25" s="21" t="inlineStr"/>
      <c r="AB25" s="21" t="inlineStr"/>
      <c r="AC25" s="21" t="inlineStr"/>
      <c r="AD25" s="21" t="inlineStr"/>
      <c r="AE25" s="21" t="inlineStr"/>
      <c r="AF25" s="21" t="inlineStr"/>
      <c r="AG25" s="21" t="inlineStr"/>
      <c r="AH25" s="21" t="inlineStr"/>
      <c r="AI25" s="21" t="inlineStr"/>
      <c r="AJ25" s="22">
        <f>IF($A25=1,SUMPRODUCT(($E$6:$AI$6&lt;=$B$3)*(E25:AI25)),"")</f>
        <v/>
      </c>
    </row>
    <row r="26">
      <c r="A26" s="19">
        <f>Setup!D28</f>
        <v/>
      </c>
      <c r="B26" s="20">
        <f>Setup!A28</f>
        <v/>
      </c>
      <c r="C26" s="19">
        <f>Setup!B28</f>
        <v/>
      </c>
      <c r="D26" s="19">
        <f>Setup!E28</f>
        <v/>
      </c>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2">
        <f>IF($A26=1,SUMPRODUCT(($E$6:$AI$6&lt;=$B$3)*(E26:AI26)),"")</f>
        <v/>
      </c>
    </row>
    <row r="29">
      <c r="A29" s="23" t="inlineStr">
        <is>
          <t>Daily summary</t>
        </is>
      </c>
    </row>
    <row r="30">
      <c r="A30" s="8" t="inlineStr">
        <is>
          <t>Good habits done</t>
        </is>
      </c>
      <c r="E30" s="19">
        <f>SUMPRODUCT(($A$7:$A$26=1)*($C$7:$C$26="Good")*(E7:E26))</f>
        <v/>
      </c>
      <c r="F30" s="19">
        <f>SUMPRODUCT(($A$7:$A$26=1)*($C$7:$C$26="Good")*(F7:F26))</f>
        <v/>
      </c>
      <c r="G30" s="19">
        <f>SUMPRODUCT(($A$7:$A$26=1)*($C$7:$C$26="Good")*(G7:G26))</f>
        <v/>
      </c>
      <c r="H30" s="19">
        <f>SUMPRODUCT(($A$7:$A$26=1)*($C$7:$C$26="Good")*(H7:H26))</f>
        <v/>
      </c>
      <c r="I30" s="19">
        <f>SUMPRODUCT(($A$7:$A$26=1)*($C$7:$C$26="Good")*(I7:I26))</f>
        <v/>
      </c>
      <c r="J30" s="19">
        <f>SUMPRODUCT(($A$7:$A$26=1)*($C$7:$C$26="Good")*(J7:J26))</f>
        <v/>
      </c>
      <c r="K30" s="19">
        <f>SUMPRODUCT(($A$7:$A$26=1)*($C$7:$C$26="Good")*(K7:K26))</f>
        <v/>
      </c>
      <c r="L30" s="19">
        <f>SUMPRODUCT(($A$7:$A$26=1)*($C$7:$C$26="Good")*(L7:L26))</f>
        <v/>
      </c>
      <c r="M30" s="19">
        <f>SUMPRODUCT(($A$7:$A$26=1)*($C$7:$C$26="Good")*(M7:M26))</f>
        <v/>
      </c>
      <c r="N30" s="19">
        <f>SUMPRODUCT(($A$7:$A$26=1)*($C$7:$C$26="Good")*(N7:N26))</f>
        <v/>
      </c>
      <c r="O30" s="19">
        <f>SUMPRODUCT(($A$7:$A$26=1)*($C$7:$C$26="Good")*(O7:O26))</f>
        <v/>
      </c>
      <c r="P30" s="19">
        <f>SUMPRODUCT(($A$7:$A$26=1)*($C$7:$C$26="Good")*(P7:P26))</f>
        <v/>
      </c>
      <c r="Q30" s="19">
        <f>SUMPRODUCT(($A$7:$A$26=1)*($C$7:$C$26="Good")*(Q7:Q26))</f>
        <v/>
      </c>
      <c r="R30" s="19">
        <f>SUMPRODUCT(($A$7:$A$26=1)*($C$7:$C$26="Good")*(R7:R26))</f>
        <v/>
      </c>
      <c r="S30" s="19">
        <f>SUMPRODUCT(($A$7:$A$26=1)*($C$7:$C$26="Good")*(S7:S26))</f>
        <v/>
      </c>
      <c r="T30" s="19">
        <f>SUMPRODUCT(($A$7:$A$26=1)*($C$7:$C$26="Good")*(T7:T26))</f>
        <v/>
      </c>
      <c r="U30" s="19">
        <f>SUMPRODUCT(($A$7:$A$26=1)*($C$7:$C$26="Good")*(U7:U26))</f>
        <v/>
      </c>
      <c r="V30" s="19">
        <f>SUMPRODUCT(($A$7:$A$26=1)*($C$7:$C$26="Good")*(V7:V26))</f>
        <v/>
      </c>
      <c r="W30" s="19">
        <f>SUMPRODUCT(($A$7:$A$26=1)*($C$7:$C$26="Good")*(W7:W26))</f>
        <v/>
      </c>
      <c r="X30" s="19">
        <f>SUMPRODUCT(($A$7:$A$26=1)*($C$7:$C$26="Good")*(X7:X26))</f>
        <v/>
      </c>
      <c r="Y30" s="19">
        <f>SUMPRODUCT(($A$7:$A$26=1)*($C$7:$C$26="Good")*(Y7:Y26))</f>
        <v/>
      </c>
      <c r="Z30" s="19">
        <f>SUMPRODUCT(($A$7:$A$26=1)*($C$7:$C$26="Good")*(Z7:Z26))</f>
        <v/>
      </c>
      <c r="AA30" s="19">
        <f>SUMPRODUCT(($A$7:$A$26=1)*($C$7:$C$26="Good")*(AA7:AA26))</f>
        <v/>
      </c>
      <c r="AB30" s="19">
        <f>SUMPRODUCT(($A$7:$A$26=1)*($C$7:$C$26="Good")*(AB7:AB26))</f>
        <v/>
      </c>
      <c r="AC30" s="19">
        <f>SUMPRODUCT(($A$7:$A$26=1)*($C$7:$C$26="Good")*(AC7:AC26))</f>
        <v/>
      </c>
      <c r="AD30" s="19">
        <f>SUMPRODUCT(($A$7:$A$26=1)*($C$7:$C$26="Good")*(AD7:AD26))</f>
        <v/>
      </c>
      <c r="AE30" s="19">
        <f>SUMPRODUCT(($A$7:$A$26=1)*($C$7:$C$26="Good")*(AE7:AE26))</f>
        <v/>
      </c>
      <c r="AF30" s="19">
        <f>SUMPRODUCT(($A$7:$A$26=1)*($C$7:$C$26="Good")*(AF7:AF26))</f>
        <v/>
      </c>
      <c r="AG30" s="19">
        <f>SUMPRODUCT(($A$7:$A$26=1)*($C$7:$C$26="Good")*(AG7:AG26))</f>
        <v/>
      </c>
      <c r="AH30" s="19">
        <f>SUMPRODUCT(($A$7:$A$26=1)*($C$7:$C$26="Good")*(AH7:AH26))</f>
        <v/>
      </c>
      <c r="AI30" s="19">
        <f>SUMPRODUCT(($A$7:$A$26=1)*($C$7:$C$26="Good")*(AI7:AI26))</f>
        <v/>
      </c>
      <c r="AL30" s="24" t="inlineStr">
        <is>
          <t>Monthly totals</t>
        </is>
      </c>
    </row>
    <row r="31">
      <c r="A31" s="8" t="inlineStr">
        <is>
          <t>Bad habits happened</t>
        </is>
      </c>
      <c r="E31" s="19">
        <f>SUMPRODUCT(($A$7:$A$26=1)*($C$7:$C$26="Bad")*(E7:E26))</f>
        <v/>
      </c>
      <c r="F31" s="19">
        <f>SUMPRODUCT(($A$7:$A$26=1)*($C$7:$C$26="Bad")*(F7:F26))</f>
        <v/>
      </c>
      <c r="G31" s="19">
        <f>SUMPRODUCT(($A$7:$A$26=1)*($C$7:$C$26="Bad")*(G7:G26))</f>
        <v/>
      </c>
      <c r="H31" s="19">
        <f>SUMPRODUCT(($A$7:$A$26=1)*($C$7:$C$26="Bad")*(H7:H26))</f>
        <v/>
      </c>
      <c r="I31" s="19">
        <f>SUMPRODUCT(($A$7:$A$26=1)*($C$7:$C$26="Bad")*(I7:I26))</f>
        <v/>
      </c>
      <c r="J31" s="19">
        <f>SUMPRODUCT(($A$7:$A$26=1)*($C$7:$C$26="Bad")*(J7:J26))</f>
        <v/>
      </c>
      <c r="K31" s="19">
        <f>SUMPRODUCT(($A$7:$A$26=1)*($C$7:$C$26="Bad")*(K7:K26))</f>
        <v/>
      </c>
      <c r="L31" s="19">
        <f>SUMPRODUCT(($A$7:$A$26=1)*($C$7:$C$26="Bad")*(L7:L26))</f>
        <v/>
      </c>
      <c r="M31" s="19">
        <f>SUMPRODUCT(($A$7:$A$26=1)*($C$7:$C$26="Bad")*(M7:M26))</f>
        <v/>
      </c>
      <c r="N31" s="19">
        <f>SUMPRODUCT(($A$7:$A$26=1)*($C$7:$C$26="Bad")*(N7:N26))</f>
        <v/>
      </c>
      <c r="O31" s="19">
        <f>SUMPRODUCT(($A$7:$A$26=1)*($C$7:$C$26="Bad")*(O7:O26))</f>
        <v/>
      </c>
      <c r="P31" s="19">
        <f>SUMPRODUCT(($A$7:$A$26=1)*($C$7:$C$26="Bad")*(P7:P26))</f>
        <v/>
      </c>
      <c r="Q31" s="19">
        <f>SUMPRODUCT(($A$7:$A$26=1)*($C$7:$C$26="Bad")*(Q7:Q26))</f>
        <v/>
      </c>
      <c r="R31" s="19">
        <f>SUMPRODUCT(($A$7:$A$26=1)*($C$7:$C$26="Bad")*(R7:R26))</f>
        <v/>
      </c>
      <c r="S31" s="19">
        <f>SUMPRODUCT(($A$7:$A$26=1)*($C$7:$C$26="Bad")*(S7:S26))</f>
        <v/>
      </c>
      <c r="T31" s="19">
        <f>SUMPRODUCT(($A$7:$A$26=1)*($C$7:$C$26="Bad")*(T7:T26))</f>
        <v/>
      </c>
      <c r="U31" s="19">
        <f>SUMPRODUCT(($A$7:$A$26=1)*($C$7:$C$26="Bad")*(U7:U26))</f>
        <v/>
      </c>
      <c r="V31" s="19">
        <f>SUMPRODUCT(($A$7:$A$26=1)*($C$7:$C$26="Bad")*(V7:V26))</f>
        <v/>
      </c>
      <c r="W31" s="19">
        <f>SUMPRODUCT(($A$7:$A$26=1)*($C$7:$C$26="Bad")*(W7:W26))</f>
        <v/>
      </c>
      <c r="X31" s="19">
        <f>SUMPRODUCT(($A$7:$A$26=1)*($C$7:$C$26="Bad")*(X7:X26))</f>
        <v/>
      </c>
      <c r="Y31" s="19">
        <f>SUMPRODUCT(($A$7:$A$26=1)*($C$7:$C$26="Bad")*(Y7:Y26))</f>
        <v/>
      </c>
      <c r="Z31" s="19">
        <f>SUMPRODUCT(($A$7:$A$26=1)*($C$7:$C$26="Bad")*(Z7:Z26))</f>
        <v/>
      </c>
      <c r="AA31" s="19">
        <f>SUMPRODUCT(($A$7:$A$26=1)*($C$7:$C$26="Bad")*(AA7:AA26))</f>
        <v/>
      </c>
      <c r="AB31" s="19">
        <f>SUMPRODUCT(($A$7:$A$26=1)*($C$7:$C$26="Bad")*(AB7:AB26))</f>
        <v/>
      </c>
      <c r="AC31" s="19">
        <f>SUMPRODUCT(($A$7:$A$26=1)*($C$7:$C$26="Bad")*(AC7:AC26))</f>
        <v/>
      </c>
      <c r="AD31" s="19">
        <f>SUMPRODUCT(($A$7:$A$26=1)*($C$7:$C$26="Bad")*(AD7:AD26))</f>
        <v/>
      </c>
      <c r="AE31" s="19">
        <f>SUMPRODUCT(($A$7:$A$26=1)*($C$7:$C$26="Bad")*(AE7:AE26))</f>
        <v/>
      </c>
      <c r="AF31" s="19">
        <f>SUMPRODUCT(($A$7:$A$26=1)*($C$7:$C$26="Bad")*(AF7:AF26))</f>
        <v/>
      </c>
      <c r="AG31" s="19">
        <f>SUMPRODUCT(($A$7:$A$26=1)*($C$7:$C$26="Bad")*(AG7:AG26))</f>
        <v/>
      </c>
      <c r="AH31" s="19">
        <f>SUMPRODUCT(($A$7:$A$26=1)*($C$7:$C$26="Bad")*(AH7:AH26))</f>
        <v/>
      </c>
      <c r="AI31" s="19">
        <f>SUMPRODUCT(($A$7:$A$26=1)*($C$7:$C$26="Bad")*(AI7:AI26))</f>
        <v/>
      </c>
      <c r="AL31" s="10" t="inlineStr">
        <is>
          <t>Good done</t>
        </is>
      </c>
      <c r="AM31" s="25">
        <f>SUMPRODUCT(($E$6:$AI$6&lt;=$B$3)*(E30:AI30))</f>
        <v/>
      </c>
    </row>
    <row r="32">
      <c r="A32" s="8" t="inlineStr">
        <is>
          <t>Net score</t>
        </is>
      </c>
      <c r="E32" s="19">
        <f>SUMPRODUCT(($A$7:$A$26=1)*($D$7:$D$26)*(E7:E26))</f>
        <v/>
      </c>
      <c r="F32" s="19">
        <f>SUMPRODUCT(($A$7:$A$26=1)*($D$7:$D$26)*(F7:F26))</f>
        <v/>
      </c>
      <c r="G32" s="19">
        <f>SUMPRODUCT(($A$7:$A$26=1)*($D$7:$D$26)*(G7:G26))</f>
        <v/>
      </c>
      <c r="H32" s="19">
        <f>SUMPRODUCT(($A$7:$A$26=1)*($D$7:$D$26)*(H7:H26))</f>
        <v/>
      </c>
      <c r="I32" s="19">
        <f>SUMPRODUCT(($A$7:$A$26=1)*($D$7:$D$26)*(I7:I26))</f>
        <v/>
      </c>
      <c r="J32" s="19">
        <f>SUMPRODUCT(($A$7:$A$26=1)*($D$7:$D$26)*(J7:J26))</f>
        <v/>
      </c>
      <c r="K32" s="19">
        <f>SUMPRODUCT(($A$7:$A$26=1)*($D$7:$D$26)*(K7:K26))</f>
        <v/>
      </c>
      <c r="L32" s="19">
        <f>SUMPRODUCT(($A$7:$A$26=1)*($D$7:$D$26)*(L7:L26))</f>
        <v/>
      </c>
      <c r="M32" s="19">
        <f>SUMPRODUCT(($A$7:$A$26=1)*($D$7:$D$26)*(M7:M26))</f>
        <v/>
      </c>
      <c r="N32" s="19">
        <f>SUMPRODUCT(($A$7:$A$26=1)*($D$7:$D$26)*(N7:N26))</f>
        <v/>
      </c>
      <c r="O32" s="19">
        <f>SUMPRODUCT(($A$7:$A$26=1)*($D$7:$D$26)*(O7:O26))</f>
        <v/>
      </c>
      <c r="P32" s="19">
        <f>SUMPRODUCT(($A$7:$A$26=1)*($D$7:$D$26)*(P7:P26))</f>
        <v/>
      </c>
      <c r="Q32" s="19">
        <f>SUMPRODUCT(($A$7:$A$26=1)*($D$7:$D$26)*(Q7:Q26))</f>
        <v/>
      </c>
      <c r="R32" s="19">
        <f>SUMPRODUCT(($A$7:$A$26=1)*($D$7:$D$26)*(R7:R26))</f>
        <v/>
      </c>
      <c r="S32" s="19">
        <f>SUMPRODUCT(($A$7:$A$26=1)*($D$7:$D$26)*(S7:S26))</f>
        <v/>
      </c>
      <c r="T32" s="19">
        <f>SUMPRODUCT(($A$7:$A$26=1)*($D$7:$D$26)*(T7:T26))</f>
        <v/>
      </c>
      <c r="U32" s="19">
        <f>SUMPRODUCT(($A$7:$A$26=1)*($D$7:$D$26)*(U7:U26))</f>
        <v/>
      </c>
      <c r="V32" s="19">
        <f>SUMPRODUCT(($A$7:$A$26=1)*($D$7:$D$26)*(V7:V26))</f>
        <v/>
      </c>
      <c r="W32" s="19">
        <f>SUMPRODUCT(($A$7:$A$26=1)*($D$7:$D$26)*(W7:W26))</f>
        <v/>
      </c>
      <c r="X32" s="19">
        <f>SUMPRODUCT(($A$7:$A$26=1)*($D$7:$D$26)*(X7:X26))</f>
        <v/>
      </c>
      <c r="Y32" s="19">
        <f>SUMPRODUCT(($A$7:$A$26=1)*($D$7:$D$26)*(Y7:Y26))</f>
        <v/>
      </c>
      <c r="Z32" s="19">
        <f>SUMPRODUCT(($A$7:$A$26=1)*($D$7:$D$26)*(Z7:Z26))</f>
        <v/>
      </c>
      <c r="AA32" s="19">
        <f>SUMPRODUCT(($A$7:$A$26=1)*($D$7:$D$26)*(AA7:AA26))</f>
        <v/>
      </c>
      <c r="AB32" s="19">
        <f>SUMPRODUCT(($A$7:$A$26=1)*($D$7:$D$26)*(AB7:AB26))</f>
        <v/>
      </c>
      <c r="AC32" s="19">
        <f>SUMPRODUCT(($A$7:$A$26=1)*($D$7:$D$26)*(AC7:AC26))</f>
        <v/>
      </c>
      <c r="AD32" s="19">
        <f>SUMPRODUCT(($A$7:$A$26=1)*($D$7:$D$26)*(AD7:AD26))</f>
        <v/>
      </c>
      <c r="AE32" s="19">
        <f>SUMPRODUCT(($A$7:$A$26=1)*($D$7:$D$26)*(AE7:AE26))</f>
        <v/>
      </c>
      <c r="AF32" s="19">
        <f>SUMPRODUCT(($A$7:$A$26=1)*($D$7:$D$26)*(AF7:AF26))</f>
        <v/>
      </c>
      <c r="AG32" s="19">
        <f>SUMPRODUCT(($A$7:$A$26=1)*($D$7:$D$26)*(AG7:AG26))</f>
        <v/>
      </c>
      <c r="AH32" s="19">
        <f>SUMPRODUCT(($A$7:$A$26=1)*($D$7:$D$26)*(AH7:AH26))</f>
        <v/>
      </c>
      <c r="AI32" s="19">
        <f>SUMPRODUCT(($A$7:$A$26=1)*($D$7:$D$26)*(AI7:AI26))</f>
        <v/>
      </c>
      <c r="AL32" s="10" t="inlineStr">
        <is>
          <t>Bad happened</t>
        </is>
      </c>
      <c r="AM32" s="25">
        <f>SUMPRODUCT(($E$6:$AI$6&lt;=$B$3)*(E31:AI31))</f>
        <v/>
      </c>
    </row>
    <row r="33">
      <c r="A33" s="8" t="inlineStr">
        <is>
          <t>Completion % (Good only)</t>
        </is>
      </c>
      <c r="E33" s="26">
        <f>IF(SUMPRODUCT(($A$7:$A$26=1)*($C$7:$C$26="Good"))=0,"",SUMPRODUCT(($A$7:$A$26=1)*($C$7:$C$26="Good")*(E7:E26))/SUMPRODUCT(($A$7:$A$26=1)*($C$7:$C$26="Good")))</f>
        <v/>
      </c>
      <c r="F33" s="26">
        <f>IF(SUMPRODUCT(($A$7:$A$26=1)*($C$7:$C$26="Good"))=0,"",SUMPRODUCT(($A$7:$A$26=1)*($C$7:$C$26="Good")*(F7:F26))/SUMPRODUCT(($A$7:$A$26=1)*($C$7:$C$26="Good")))</f>
        <v/>
      </c>
      <c r="G33" s="26">
        <f>IF(SUMPRODUCT(($A$7:$A$26=1)*($C$7:$C$26="Good"))=0,"",SUMPRODUCT(($A$7:$A$26=1)*($C$7:$C$26="Good")*(G7:G26))/SUMPRODUCT(($A$7:$A$26=1)*($C$7:$C$26="Good")))</f>
        <v/>
      </c>
      <c r="H33" s="26">
        <f>IF(SUMPRODUCT(($A$7:$A$26=1)*($C$7:$C$26="Good"))=0,"",SUMPRODUCT(($A$7:$A$26=1)*($C$7:$C$26="Good")*(H7:H26))/SUMPRODUCT(($A$7:$A$26=1)*($C$7:$C$26="Good")))</f>
        <v/>
      </c>
      <c r="I33" s="26">
        <f>IF(SUMPRODUCT(($A$7:$A$26=1)*($C$7:$C$26="Good"))=0,"",SUMPRODUCT(($A$7:$A$26=1)*($C$7:$C$26="Good")*(I7:I26))/SUMPRODUCT(($A$7:$A$26=1)*($C$7:$C$26="Good")))</f>
        <v/>
      </c>
      <c r="J33" s="26">
        <f>IF(SUMPRODUCT(($A$7:$A$26=1)*($C$7:$C$26="Good"))=0,"",SUMPRODUCT(($A$7:$A$26=1)*($C$7:$C$26="Good")*(J7:J26))/SUMPRODUCT(($A$7:$A$26=1)*($C$7:$C$26="Good")))</f>
        <v/>
      </c>
      <c r="K33" s="26">
        <f>IF(SUMPRODUCT(($A$7:$A$26=1)*($C$7:$C$26="Good"))=0,"",SUMPRODUCT(($A$7:$A$26=1)*($C$7:$C$26="Good")*(K7:K26))/SUMPRODUCT(($A$7:$A$26=1)*($C$7:$C$26="Good")))</f>
        <v/>
      </c>
      <c r="L33" s="26">
        <f>IF(SUMPRODUCT(($A$7:$A$26=1)*($C$7:$C$26="Good"))=0,"",SUMPRODUCT(($A$7:$A$26=1)*($C$7:$C$26="Good")*(L7:L26))/SUMPRODUCT(($A$7:$A$26=1)*($C$7:$C$26="Good")))</f>
        <v/>
      </c>
      <c r="M33" s="26">
        <f>IF(SUMPRODUCT(($A$7:$A$26=1)*($C$7:$C$26="Good"))=0,"",SUMPRODUCT(($A$7:$A$26=1)*($C$7:$C$26="Good")*(M7:M26))/SUMPRODUCT(($A$7:$A$26=1)*($C$7:$C$26="Good")))</f>
        <v/>
      </c>
      <c r="N33" s="26">
        <f>IF(SUMPRODUCT(($A$7:$A$26=1)*($C$7:$C$26="Good"))=0,"",SUMPRODUCT(($A$7:$A$26=1)*($C$7:$C$26="Good")*(N7:N26))/SUMPRODUCT(($A$7:$A$26=1)*($C$7:$C$26="Good")))</f>
        <v/>
      </c>
      <c r="O33" s="26">
        <f>IF(SUMPRODUCT(($A$7:$A$26=1)*($C$7:$C$26="Good"))=0,"",SUMPRODUCT(($A$7:$A$26=1)*($C$7:$C$26="Good")*(O7:O26))/SUMPRODUCT(($A$7:$A$26=1)*($C$7:$C$26="Good")))</f>
        <v/>
      </c>
      <c r="P33" s="26">
        <f>IF(SUMPRODUCT(($A$7:$A$26=1)*($C$7:$C$26="Good"))=0,"",SUMPRODUCT(($A$7:$A$26=1)*($C$7:$C$26="Good")*(P7:P26))/SUMPRODUCT(($A$7:$A$26=1)*($C$7:$C$26="Good")))</f>
        <v/>
      </c>
      <c r="Q33" s="26">
        <f>IF(SUMPRODUCT(($A$7:$A$26=1)*($C$7:$C$26="Good"))=0,"",SUMPRODUCT(($A$7:$A$26=1)*($C$7:$C$26="Good")*(Q7:Q26))/SUMPRODUCT(($A$7:$A$26=1)*($C$7:$C$26="Good")))</f>
        <v/>
      </c>
      <c r="R33" s="26">
        <f>IF(SUMPRODUCT(($A$7:$A$26=1)*($C$7:$C$26="Good"))=0,"",SUMPRODUCT(($A$7:$A$26=1)*($C$7:$C$26="Good")*(R7:R26))/SUMPRODUCT(($A$7:$A$26=1)*($C$7:$C$26="Good")))</f>
        <v/>
      </c>
      <c r="S33" s="26">
        <f>IF(SUMPRODUCT(($A$7:$A$26=1)*($C$7:$C$26="Good"))=0,"",SUMPRODUCT(($A$7:$A$26=1)*($C$7:$C$26="Good")*(S7:S26))/SUMPRODUCT(($A$7:$A$26=1)*($C$7:$C$26="Good")))</f>
        <v/>
      </c>
      <c r="T33" s="26">
        <f>IF(SUMPRODUCT(($A$7:$A$26=1)*($C$7:$C$26="Good"))=0,"",SUMPRODUCT(($A$7:$A$26=1)*($C$7:$C$26="Good")*(T7:T26))/SUMPRODUCT(($A$7:$A$26=1)*($C$7:$C$26="Good")))</f>
        <v/>
      </c>
      <c r="U33" s="26">
        <f>IF(SUMPRODUCT(($A$7:$A$26=1)*($C$7:$C$26="Good"))=0,"",SUMPRODUCT(($A$7:$A$26=1)*($C$7:$C$26="Good")*(U7:U26))/SUMPRODUCT(($A$7:$A$26=1)*($C$7:$C$26="Good")))</f>
        <v/>
      </c>
      <c r="V33" s="26">
        <f>IF(SUMPRODUCT(($A$7:$A$26=1)*($C$7:$C$26="Good"))=0,"",SUMPRODUCT(($A$7:$A$26=1)*($C$7:$C$26="Good")*(V7:V26))/SUMPRODUCT(($A$7:$A$26=1)*($C$7:$C$26="Good")))</f>
        <v/>
      </c>
      <c r="W33" s="26">
        <f>IF(SUMPRODUCT(($A$7:$A$26=1)*($C$7:$C$26="Good"))=0,"",SUMPRODUCT(($A$7:$A$26=1)*($C$7:$C$26="Good")*(W7:W26))/SUMPRODUCT(($A$7:$A$26=1)*($C$7:$C$26="Good")))</f>
        <v/>
      </c>
      <c r="X33" s="26">
        <f>IF(SUMPRODUCT(($A$7:$A$26=1)*($C$7:$C$26="Good"))=0,"",SUMPRODUCT(($A$7:$A$26=1)*($C$7:$C$26="Good")*(X7:X26))/SUMPRODUCT(($A$7:$A$26=1)*($C$7:$C$26="Good")))</f>
        <v/>
      </c>
      <c r="Y33" s="26">
        <f>IF(SUMPRODUCT(($A$7:$A$26=1)*($C$7:$C$26="Good"))=0,"",SUMPRODUCT(($A$7:$A$26=1)*($C$7:$C$26="Good")*(Y7:Y26))/SUMPRODUCT(($A$7:$A$26=1)*($C$7:$C$26="Good")))</f>
        <v/>
      </c>
      <c r="Z33" s="26">
        <f>IF(SUMPRODUCT(($A$7:$A$26=1)*($C$7:$C$26="Good"))=0,"",SUMPRODUCT(($A$7:$A$26=1)*($C$7:$C$26="Good")*(Z7:Z26))/SUMPRODUCT(($A$7:$A$26=1)*($C$7:$C$26="Good")))</f>
        <v/>
      </c>
      <c r="AA33" s="26">
        <f>IF(SUMPRODUCT(($A$7:$A$26=1)*($C$7:$C$26="Good"))=0,"",SUMPRODUCT(($A$7:$A$26=1)*($C$7:$C$26="Good")*(AA7:AA26))/SUMPRODUCT(($A$7:$A$26=1)*($C$7:$C$26="Good")))</f>
        <v/>
      </c>
      <c r="AB33" s="26">
        <f>IF(SUMPRODUCT(($A$7:$A$26=1)*($C$7:$C$26="Good"))=0,"",SUMPRODUCT(($A$7:$A$26=1)*($C$7:$C$26="Good")*(AB7:AB26))/SUMPRODUCT(($A$7:$A$26=1)*($C$7:$C$26="Good")))</f>
        <v/>
      </c>
      <c r="AC33" s="26">
        <f>IF(SUMPRODUCT(($A$7:$A$26=1)*($C$7:$C$26="Good"))=0,"",SUMPRODUCT(($A$7:$A$26=1)*($C$7:$C$26="Good")*(AC7:AC26))/SUMPRODUCT(($A$7:$A$26=1)*($C$7:$C$26="Good")))</f>
        <v/>
      </c>
      <c r="AD33" s="26">
        <f>IF(SUMPRODUCT(($A$7:$A$26=1)*($C$7:$C$26="Good"))=0,"",SUMPRODUCT(($A$7:$A$26=1)*($C$7:$C$26="Good")*(AD7:AD26))/SUMPRODUCT(($A$7:$A$26=1)*($C$7:$C$26="Good")))</f>
        <v/>
      </c>
      <c r="AE33" s="26">
        <f>IF(SUMPRODUCT(($A$7:$A$26=1)*($C$7:$C$26="Good"))=0,"",SUMPRODUCT(($A$7:$A$26=1)*($C$7:$C$26="Good")*(AE7:AE26))/SUMPRODUCT(($A$7:$A$26=1)*($C$7:$C$26="Good")))</f>
        <v/>
      </c>
      <c r="AF33" s="26">
        <f>IF(SUMPRODUCT(($A$7:$A$26=1)*($C$7:$C$26="Good"))=0,"",SUMPRODUCT(($A$7:$A$26=1)*($C$7:$C$26="Good")*(AF7:AF26))/SUMPRODUCT(($A$7:$A$26=1)*($C$7:$C$26="Good")))</f>
        <v/>
      </c>
      <c r="AG33" s="26">
        <f>IF(SUMPRODUCT(($A$7:$A$26=1)*($C$7:$C$26="Good"))=0,"",SUMPRODUCT(($A$7:$A$26=1)*($C$7:$C$26="Good")*(AG7:AG26))/SUMPRODUCT(($A$7:$A$26=1)*($C$7:$C$26="Good")))</f>
        <v/>
      </c>
      <c r="AH33" s="26">
        <f>IF(SUMPRODUCT(($A$7:$A$26=1)*($C$7:$C$26="Good"))=0,"",SUMPRODUCT(($A$7:$A$26=1)*($C$7:$C$26="Good")*(AH7:AH26))/SUMPRODUCT(($A$7:$A$26=1)*($C$7:$C$26="Good")))</f>
        <v/>
      </c>
      <c r="AI33" s="26">
        <f>IF(SUMPRODUCT(($A$7:$A$26=1)*($C$7:$C$26="Good"))=0,"",SUMPRODUCT(($A$7:$A$26=1)*($C$7:$C$26="Good")*(AI7:AI26))/SUMPRODUCT(($A$7:$A$26=1)*($C$7:$C$26="Good")))</f>
        <v/>
      </c>
      <c r="AL33" s="10" t="inlineStr">
        <is>
          <t>Net score</t>
        </is>
      </c>
      <c r="AM33" s="25">
        <f>SUMPRODUCT(($E$6:$AI$6&lt;=$B$3)*(E32:AI32))</f>
        <v/>
      </c>
    </row>
    <row r="34">
      <c r="AL34" s="10" t="inlineStr">
        <is>
          <t>Avg completion (Good)</t>
        </is>
      </c>
      <c r="AM34" s="27">
        <f>AVERAGEIF($E$6:$AI$6,"&lt;="&amp;$B$3,E33:AI33)</f>
        <v/>
      </c>
    </row>
  </sheetData>
  <mergeCells count="6">
    <mergeCell ref="A31:D31"/>
    <mergeCell ref="A1:AI1"/>
    <mergeCell ref="A30:D30"/>
    <mergeCell ref="A29:D29"/>
    <mergeCell ref="A33:D33"/>
    <mergeCell ref="A32:D32"/>
  </mergeCells>
  <conditionalFormatting sqref="E7:AI26">
    <cfRule type="expression" priority="1" dxfId="0">
      <formula>E7=1</formula>
    </cfRule>
  </conditionalFormatting>
  <conditionalFormatting sqref="E5:E33">
    <cfRule type="expression" priority="2" dxfId="1">
      <formula>E$6&gt;$B$3</formula>
    </cfRule>
  </conditionalFormatting>
  <conditionalFormatting sqref="F5:F33">
    <cfRule type="expression" priority="3" dxfId="1">
      <formula>F$6&gt;$B$3</formula>
    </cfRule>
  </conditionalFormatting>
  <conditionalFormatting sqref="G5:G33">
    <cfRule type="expression" priority="4" dxfId="1">
      <formula>G$6&gt;$B$3</formula>
    </cfRule>
  </conditionalFormatting>
  <conditionalFormatting sqref="H5:H33">
    <cfRule type="expression" priority="5" dxfId="1">
      <formula>H$6&gt;$B$3</formula>
    </cfRule>
  </conditionalFormatting>
  <conditionalFormatting sqref="I5:I33">
    <cfRule type="expression" priority="6" dxfId="1">
      <formula>I$6&gt;$B$3</formula>
    </cfRule>
  </conditionalFormatting>
  <conditionalFormatting sqref="J5:J33">
    <cfRule type="expression" priority="7" dxfId="1">
      <formula>J$6&gt;$B$3</formula>
    </cfRule>
  </conditionalFormatting>
  <conditionalFormatting sqref="K5:K33">
    <cfRule type="expression" priority="8" dxfId="1">
      <formula>K$6&gt;$B$3</formula>
    </cfRule>
  </conditionalFormatting>
  <conditionalFormatting sqref="L5:L33">
    <cfRule type="expression" priority="9" dxfId="1">
      <formula>L$6&gt;$B$3</formula>
    </cfRule>
  </conditionalFormatting>
  <conditionalFormatting sqref="M5:M33">
    <cfRule type="expression" priority="10" dxfId="1">
      <formula>M$6&gt;$B$3</formula>
    </cfRule>
  </conditionalFormatting>
  <conditionalFormatting sqref="N5:N33">
    <cfRule type="expression" priority="11" dxfId="1">
      <formula>N$6&gt;$B$3</formula>
    </cfRule>
  </conditionalFormatting>
  <conditionalFormatting sqref="O5:O33">
    <cfRule type="expression" priority="12" dxfId="1">
      <formula>O$6&gt;$B$3</formula>
    </cfRule>
  </conditionalFormatting>
  <conditionalFormatting sqref="P5:P33">
    <cfRule type="expression" priority="13" dxfId="1">
      <formula>P$6&gt;$B$3</formula>
    </cfRule>
  </conditionalFormatting>
  <conditionalFormatting sqref="Q5:Q33">
    <cfRule type="expression" priority="14" dxfId="1">
      <formula>Q$6&gt;$B$3</formula>
    </cfRule>
  </conditionalFormatting>
  <conditionalFormatting sqref="R5:R33">
    <cfRule type="expression" priority="15" dxfId="1">
      <formula>R$6&gt;$B$3</formula>
    </cfRule>
  </conditionalFormatting>
  <conditionalFormatting sqref="S5:S33">
    <cfRule type="expression" priority="16" dxfId="1">
      <formula>S$6&gt;$B$3</formula>
    </cfRule>
  </conditionalFormatting>
  <conditionalFormatting sqref="T5:T33">
    <cfRule type="expression" priority="17" dxfId="1">
      <formula>T$6&gt;$B$3</formula>
    </cfRule>
  </conditionalFormatting>
  <conditionalFormatting sqref="U5:U33">
    <cfRule type="expression" priority="18" dxfId="1">
      <formula>U$6&gt;$B$3</formula>
    </cfRule>
  </conditionalFormatting>
  <conditionalFormatting sqref="V5:V33">
    <cfRule type="expression" priority="19" dxfId="1">
      <formula>V$6&gt;$B$3</formula>
    </cfRule>
  </conditionalFormatting>
  <conditionalFormatting sqref="W5:W33">
    <cfRule type="expression" priority="20" dxfId="1">
      <formula>W$6&gt;$B$3</formula>
    </cfRule>
  </conditionalFormatting>
  <conditionalFormatting sqref="X5:X33">
    <cfRule type="expression" priority="21" dxfId="1">
      <formula>X$6&gt;$B$3</formula>
    </cfRule>
  </conditionalFormatting>
  <conditionalFormatting sqref="Y5:Y33">
    <cfRule type="expression" priority="22" dxfId="1">
      <formula>Y$6&gt;$B$3</formula>
    </cfRule>
  </conditionalFormatting>
  <conditionalFormatting sqref="Z5:Z33">
    <cfRule type="expression" priority="23" dxfId="1">
      <formula>Z$6&gt;$B$3</formula>
    </cfRule>
  </conditionalFormatting>
  <conditionalFormatting sqref="AA5:AA33">
    <cfRule type="expression" priority="24" dxfId="1">
      <formula>AA$6&gt;$B$3</formula>
    </cfRule>
  </conditionalFormatting>
  <conditionalFormatting sqref="AB5:AB33">
    <cfRule type="expression" priority="25" dxfId="1">
      <formula>AB$6&gt;$B$3</formula>
    </cfRule>
  </conditionalFormatting>
  <conditionalFormatting sqref="AC5:AC33">
    <cfRule type="expression" priority="26" dxfId="1">
      <formula>AC$6&gt;$B$3</formula>
    </cfRule>
  </conditionalFormatting>
  <conditionalFormatting sqref="AD5:AD33">
    <cfRule type="expression" priority="27" dxfId="1">
      <formula>AD$6&gt;$B$3</formula>
    </cfRule>
  </conditionalFormatting>
  <conditionalFormatting sqref="AE5:AE33">
    <cfRule type="expression" priority="28" dxfId="1">
      <formula>AE$6&gt;$B$3</formula>
    </cfRule>
  </conditionalFormatting>
  <conditionalFormatting sqref="AF5:AF33">
    <cfRule type="expression" priority="29" dxfId="1">
      <formula>AF$6&gt;$B$3</formula>
    </cfRule>
  </conditionalFormatting>
  <conditionalFormatting sqref="AG5:AG33">
    <cfRule type="expression" priority="30" dxfId="1">
      <formula>AG$6&gt;$B$3</formula>
    </cfRule>
  </conditionalFormatting>
  <conditionalFormatting sqref="AH5:AH33">
    <cfRule type="expression" priority="31" dxfId="1">
      <formula>AH$6&gt;$B$3</formula>
    </cfRule>
  </conditionalFormatting>
  <conditionalFormatting sqref="AI5:AI33">
    <cfRule type="expression" priority="32" dxfId="1">
      <formula>AI$6&gt;$B$3</formula>
    </cfRule>
  </conditionalFormatting>
  <dataValidations count="1">
    <dataValidation sqref="E7 E8 E9 E10 E11 E12 E13 E14 E15 E16 E17 E18 E19 E20 E21 E22 E23 E24 E25 E26 F7 F8 F9 F10 F11 F12 F13 F14 F15 F16 F17 F18 F19 F20 F21 F22 F23 F24 F25 F26 G7 G8 G9 G10 G11 G12 G13 G14 G15 G16 G17 G18 G19 G20 G21 G22 G23 G24 G25 G26 H7 H8 H9 H10 H11 H12 H13 H14 H15 H16 H17 H18 H19 H20 H21 H22 H23 H24 H25 H26 I7 I8 I9 I10 I11 I12 I13 I14 I15 I16 I17 I18 I19 I20 I21 I22 I23 I24 I25 I26 J7 J8 J9 J10 J11 J12 J13 J14 J15 J16 J17 J18 J19 J20 J21 J22 J23 J24 J25 J26 K7 K8 K9 K10 K11 K12 K13 K14 K15 K16 K17 K18 K19 K20 K21 K22 K23 K24 K25 K26 L7 L8 L9 L10 L11 L12 L13 L14 L15 L16 L17 L18 L19 L20 L21 L22 L23 L24 L25 L26 M7 M8 M9 M10 M11 M12 M13 M14 M15 M16 M17 M18 M19 M20 M21 M22 M23 M24 M25 M26 N7 N8 N9 N10 N11 N12 N13 N14 N15 N16 N17 N18 N19 N20 N21 N22 N23 N24 N25 N26 O7 O8 O9 O10 O11 O12 O13 O14 O15 O16 O17 O18 O19 O20 O21 O22 O23 O24 O25 O26 P7 P8 P9 P10 P11 P12 P13 P14 P15 P16 P17 P18 P19 P20 P21 P22 P23 P24 P25 P26 Q7 Q8 Q9 Q10 Q11 Q12 Q13 Q14 Q15 Q16 Q17 Q18 Q19 Q20 Q21 Q22 Q23 Q24 Q25 Q26 R7 R8 R9 R10 R11 R12 R13 R14 R15 R16 R17 R18 R19 R20 R21 R22 R23 R24 R25 R26 S7 S8 S9 S10 S11 S12 S13 S14 S15 S16 S17 S18 S19 S20 S21 S22 S23 S24 S25 S26 T7 T8 T9 T10 T11 T12 T13 T14 T15 T16 T17 T18 T19 T20 T21 T22 T23 T24 T25 T26 U7 U8 U9 U10 U11 U12 U13 U14 U15 U16 U17 U18 U19 U20 U21 U22 U23 U24 U25 U26 V7 V8 V9 V10 V11 V12 V13 V14 V15 V16 V17 V18 V19 V20 V21 V22 V23 V24 V25 V26 W7 W8 W9 W10 W11 W12 W13 W14 W15 W16 W17 W18 W19 W20 W21 W22 W23 W24 W25 W26 X7 X8 X9 X10 X11 X12 X13 X14 X15 X16 X17 X18 X19 X20 X21 X22 X23 X24 X25 X26 Y7 Y8 Y9 Y10 Y11 Y12 Y13 Y14 Y15 Y16 Y17 Y18 Y19 Y20 Y21 Y22 Y23 Y24 Y25 Y26 Z7 Z8 Z9 Z10 Z11 Z12 Z13 Z14 Z15 Z16 Z17 Z18 Z19 Z20 Z21 Z22 Z23 Z24 Z25 Z26 AA7 AA8 AA9 AA10 AA11 AA12 AA13 AA14 AA15 AA16 AA17 AA18 AA19 AA20 AA21 AA22 AA23 AA24 AA25 AA26 AB7 AB8 AB9 AB10 AB11 AB12 AB13 AB14 AB15 AB16 AB17 AB18 AB19 AB20 AB21 AB22 AB23 AB24 AB25 AB26 AC7 AC8 AC9 AC10 AC11 AC12 AC13 AC14 AC15 AC16 AC17 AC18 AC19 AC20 AC21 AC22 AC23 AC24 AC25 AC26 AD7 AD8 AD9 AD10 AD11 AD12 AD13 AD14 AD15 AD16 AD17 AD18 AD19 AD20 AD21 AD22 AD23 AD24 AD25 AD26 AE7 AE8 AE9 AE10 AE11 AE12 AE13 AE14 AE15 AE16 AE17 AE18 AE19 AE20 AE21 AE22 AE23 AE24 AE25 AE26 AF7 AF8 AF9 AF10 AF11 AF12 AF13 AF14 AF15 AF16 AF17 AF18 AF19 AF20 AF21 AF22 AF23 AF24 AF25 AF26 AG7 AG8 AG9 AG10 AG11 AG12 AG13 AG14 AG15 AG16 AG17 AG18 AG19 AG20 AG21 AG22 AG23 AG24 AG25 AG26 AH7 AH8 AH9 AH10 AH11 AH12 AH13 AH14 AH15 AH16 AH17 AH18 AH19 AH20 AH21 AH22 AH23 AH24 AH25 AH26 AI7 AI8 AI9 AI10 AI11 AI12 AI13 AI14 AI15 AI16 AI17 AI18 AI19 AI20 AI21 AI22 AI23 AI24 AI25 AI26" showDropDown="0" showInputMessage="0" showErrorMessage="0" allowBlank="1" type="list">
      <formula1>"0,1"</formula1>
    </dataValidation>
  </dataValidation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M3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9"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7" customWidth="1" min="36" max="36"/>
    <col width="18" customWidth="1" min="38" max="38"/>
    <col width="12" customWidth="1" min="39" max="39"/>
  </cols>
  <sheetData>
    <row r="1">
      <c r="A1" s="15" t="inlineStr">
        <is>
          <t>Apr Habit Tracker</t>
        </is>
      </c>
    </row>
    <row r="2">
      <c r="A2" s="10" t="inlineStr">
        <is>
          <t>Year:</t>
        </is>
      </c>
      <c r="B2">
        <f>Setup!$B$3</f>
        <v/>
      </c>
      <c r="C2" s="10" t="inlineStr">
        <is>
          <t>Month:</t>
        </is>
      </c>
      <c r="D2" t="inlineStr">
        <is>
          <t>Apr</t>
        </is>
      </c>
    </row>
    <row r="3">
      <c r="A3" s="10" t="inlineStr">
        <is>
          <t>Days in month:</t>
        </is>
      </c>
      <c r="B3">
        <f>DAY(EOMONTH(DATE(Setup!$B$3,4,1),0))</f>
        <v/>
      </c>
    </row>
    <row r="5" ht="18" customHeight="1">
      <c r="E5" s="16">
        <f>TEXT(DATE(Setup!$B$3,4,1),"ddd")</f>
        <v/>
      </c>
      <c r="F5" s="16">
        <f>TEXT(DATE(Setup!$B$3,4,2),"ddd")</f>
        <v/>
      </c>
      <c r="G5" s="16">
        <f>TEXT(DATE(Setup!$B$3,4,3),"ddd")</f>
        <v/>
      </c>
      <c r="H5" s="16">
        <f>TEXT(DATE(Setup!$B$3,4,4),"ddd")</f>
        <v/>
      </c>
      <c r="I5" s="16">
        <f>TEXT(DATE(Setup!$B$3,4,5),"ddd")</f>
        <v/>
      </c>
      <c r="J5" s="16">
        <f>TEXT(DATE(Setup!$B$3,4,6),"ddd")</f>
        <v/>
      </c>
      <c r="K5" s="16">
        <f>TEXT(DATE(Setup!$B$3,4,7),"ddd")</f>
        <v/>
      </c>
      <c r="L5" s="16">
        <f>TEXT(DATE(Setup!$B$3,4,8),"ddd")</f>
        <v/>
      </c>
      <c r="M5" s="16">
        <f>TEXT(DATE(Setup!$B$3,4,9),"ddd")</f>
        <v/>
      </c>
      <c r="N5" s="16">
        <f>TEXT(DATE(Setup!$B$3,4,10),"ddd")</f>
        <v/>
      </c>
      <c r="O5" s="16">
        <f>TEXT(DATE(Setup!$B$3,4,11),"ddd")</f>
        <v/>
      </c>
      <c r="P5" s="16">
        <f>TEXT(DATE(Setup!$B$3,4,12),"ddd")</f>
        <v/>
      </c>
      <c r="Q5" s="16">
        <f>TEXT(DATE(Setup!$B$3,4,13),"ddd")</f>
        <v/>
      </c>
      <c r="R5" s="16">
        <f>TEXT(DATE(Setup!$B$3,4,14),"ddd")</f>
        <v/>
      </c>
      <c r="S5" s="16">
        <f>TEXT(DATE(Setup!$B$3,4,15),"ddd")</f>
        <v/>
      </c>
      <c r="T5" s="16">
        <f>TEXT(DATE(Setup!$B$3,4,16),"ddd")</f>
        <v/>
      </c>
      <c r="U5" s="16">
        <f>TEXT(DATE(Setup!$B$3,4,17),"ddd")</f>
        <v/>
      </c>
      <c r="V5" s="16">
        <f>TEXT(DATE(Setup!$B$3,4,18),"ddd")</f>
        <v/>
      </c>
      <c r="W5" s="16">
        <f>TEXT(DATE(Setup!$B$3,4,19),"ddd")</f>
        <v/>
      </c>
      <c r="X5" s="16">
        <f>TEXT(DATE(Setup!$B$3,4,20),"ddd")</f>
        <v/>
      </c>
      <c r="Y5" s="16">
        <f>TEXT(DATE(Setup!$B$3,4,21),"ddd")</f>
        <v/>
      </c>
      <c r="Z5" s="16">
        <f>TEXT(DATE(Setup!$B$3,4,22),"ddd")</f>
        <v/>
      </c>
      <c r="AA5" s="16">
        <f>TEXT(DATE(Setup!$B$3,4,23),"ddd")</f>
        <v/>
      </c>
      <c r="AB5" s="16">
        <f>TEXT(DATE(Setup!$B$3,4,24),"ddd")</f>
        <v/>
      </c>
      <c r="AC5" s="16">
        <f>TEXT(DATE(Setup!$B$3,4,25),"ddd")</f>
        <v/>
      </c>
      <c r="AD5" s="16">
        <f>TEXT(DATE(Setup!$B$3,4,26),"ddd")</f>
        <v/>
      </c>
      <c r="AE5" s="16">
        <f>TEXT(DATE(Setup!$B$3,4,27),"ddd")</f>
        <v/>
      </c>
      <c r="AF5" s="16">
        <f>TEXT(DATE(Setup!$B$3,4,28),"ddd")</f>
        <v/>
      </c>
      <c r="AG5" s="16">
        <f>TEXT(DATE(Setup!$B$3,4,29),"ddd")</f>
        <v/>
      </c>
      <c r="AH5" s="16">
        <f>TEXT(DATE(Setup!$B$3,4,30),"ddd")</f>
        <v/>
      </c>
      <c r="AI5" s="16">
        <f>TEXT(DATE(Setup!$B$3,4,31),"ddd")</f>
        <v/>
      </c>
    </row>
    <row r="6" ht="18" customHeight="1">
      <c r="A6" s="17" t="inlineStr">
        <is>
          <t>Active</t>
        </is>
      </c>
      <c r="B6" s="17" t="inlineStr">
        <is>
          <t>Habit</t>
        </is>
      </c>
      <c r="C6" s="17" t="inlineStr">
        <is>
          <t>Type</t>
        </is>
      </c>
      <c r="D6" s="17" t="inlineStr">
        <is>
          <t>Points</t>
        </is>
      </c>
      <c r="E6" s="18" t="n">
        <v>1</v>
      </c>
      <c r="F6" s="18" t="n">
        <v>2</v>
      </c>
      <c r="G6" s="18" t="n">
        <v>3</v>
      </c>
      <c r="H6" s="18" t="n">
        <v>4</v>
      </c>
      <c r="I6" s="18" t="n">
        <v>5</v>
      </c>
      <c r="J6" s="18" t="n">
        <v>6</v>
      </c>
      <c r="K6" s="18" t="n">
        <v>7</v>
      </c>
      <c r="L6" s="18" t="n">
        <v>8</v>
      </c>
      <c r="M6" s="18" t="n">
        <v>9</v>
      </c>
      <c r="N6" s="18" t="n">
        <v>10</v>
      </c>
      <c r="O6" s="18" t="n">
        <v>11</v>
      </c>
      <c r="P6" s="18" t="n">
        <v>12</v>
      </c>
      <c r="Q6" s="18" t="n">
        <v>13</v>
      </c>
      <c r="R6" s="18" t="n">
        <v>14</v>
      </c>
      <c r="S6" s="18" t="n">
        <v>15</v>
      </c>
      <c r="T6" s="18" t="n">
        <v>16</v>
      </c>
      <c r="U6" s="18" t="n">
        <v>17</v>
      </c>
      <c r="V6" s="18" t="n">
        <v>18</v>
      </c>
      <c r="W6" s="18" t="n">
        <v>19</v>
      </c>
      <c r="X6" s="18" t="n">
        <v>20</v>
      </c>
      <c r="Y6" s="18" t="n">
        <v>21</v>
      </c>
      <c r="Z6" s="18" t="n">
        <v>22</v>
      </c>
      <c r="AA6" s="18" t="n">
        <v>23</v>
      </c>
      <c r="AB6" s="18" t="n">
        <v>24</v>
      </c>
      <c r="AC6" s="18" t="n">
        <v>25</v>
      </c>
      <c r="AD6" s="18" t="n">
        <v>26</v>
      </c>
      <c r="AE6" s="18" t="n">
        <v>27</v>
      </c>
      <c r="AF6" s="18" t="n">
        <v>28</v>
      </c>
      <c r="AG6" s="18" t="n">
        <v>29</v>
      </c>
      <c r="AH6" s="18" t="n">
        <v>30</v>
      </c>
      <c r="AI6" s="18" t="n">
        <v>31</v>
      </c>
      <c r="AJ6" s="17" t="inlineStr">
        <is>
          <t>Total</t>
        </is>
      </c>
    </row>
    <row r="7">
      <c r="A7" s="19">
        <f>Setup!D9</f>
        <v/>
      </c>
      <c r="B7" s="20">
        <f>Setup!A9</f>
        <v/>
      </c>
      <c r="C7" s="19">
        <f>Setup!B9</f>
        <v/>
      </c>
      <c r="D7" s="19">
        <f>Setup!E9</f>
        <v/>
      </c>
      <c r="E7" s="21" t="inlineStr"/>
      <c r="F7" s="21" t="inlineStr"/>
      <c r="G7" s="21" t="inlineStr"/>
      <c r="H7" s="21" t="inlineStr"/>
      <c r="I7" s="21" t="inlineStr"/>
      <c r="J7" s="21" t="inlineStr"/>
      <c r="K7" s="21" t="inlineStr"/>
      <c r="L7" s="21" t="inlineStr"/>
      <c r="M7" s="21" t="inlineStr"/>
      <c r="N7" s="21" t="inlineStr"/>
      <c r="O7" s="21" t="inlineStr"/>
      <c r="P7" s="21" t="inlineStr"/>
      <c r="Q7" s="21" t="inlineStr"/>
      <c r="R7" s="21" t="inlineStr"/>
      <c r="S7" s="21" t="inlineStr"/>
      <c r="T7" s="21" t="inlineStr"/>
      <c r="U7" s="21" t="inlineStr"/>
      <c r="V7" s="21" t="inlineStr"/>
      <c r="W7" s="21" t="inlineStr"/>
      <c r="X7" s="21" t="inlineStr"/>
      <c r="Y7" s="21" t="inlineStr"/>
      <c r="Z7" s="21" t="inlineStr"/>
      <c r="AA7" s="21" t="inlineStr"/>
      <c r="AB7" s="21" t="inlineStr"/>
      <c r="AC7" s="21" t="inlineStr"/>
      <c r="AD7" s="21" t="inlineStr"/>
      <c r="AE7" s="21" t="inlineStr"/>
      <c r="AF7" s="21" t="inlineStr"/>
      <c r="AG7" s="21" t="inlineStr"/>
      <c r="AH7" s="21" t="inlineStr"/>
      <c r="AI7" s="21" t="inlineStr"/>
      <c r="AJ7" s="22">
        <f>IF($A7=1,SUMPRODUCT(($E$6:$AI$6&lt;=$B$3)*(E7:AI7)),"")</f>
        <v/>
      </c>
    </row>
    <row r="8">
      <c r="A8" s="19">
        <f>Setup!D10</f>
        <v/>
      </c>
      <c r="B8" s="20">
        <f>Setup!A10</f>
        <v/>
      </c>
      <c r="C8" s="19">
        <f>Setup!B10</f>
        <v/>
      </c>
      <c r="D8" s="19">
        <f>Setup!E10</f>
        <v/>
      </c>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2">
        <f>IF($A8=1,SUMPRODUCT(($E$6:$AI$6&lt;=$B$3)*(E8:AI8)),"")</f>
        <v/>
      </c>
    </row>
    <row r="9">
      <c r="A9" s="19">
        <f>Setup!D11</f>
        <v/>
      </c>
      <c r="B9" s="20">
        <f>Setup!A11</f>
        <v/>
      </c>
      <c r="C9" s="19">
        <f>Setup!B11</f>
        <v/>
      </c>
      <c r="D9" s="19">
        <f>Setup!E11</f>
        <v/>
      </c>
      <c r="E9" s="21" t="inlineStr"/>
      <c r="F9" s="21" t="inlineStr"/>
      <c r="G9" s="21" t="inlineStr"/>
      <c r="H9" s="21" t="inlineStr"/>
      <c r="I9" s="21" t="inlineStr"/>
      <c r="J9" s="21" t="inlineStr"/>
      <c r="K9" s="21" t="inlineStr"/>
      <c r="L9" s="21" t="inlineStr"/>
      <c r="M9" s="21" t="inlineStr"/>
      <c r="N9" s="21" t="inlineStr"/>
      <c r="O9" s="21" t="inlineStr"/>
      <c r="P9" s="21" t="inlineStr"/>
      <c r="Q9" s="21" t="inlineStr"/>
      <c r="R9" s="21" t="inlineStr"/>
      <c r="S9" s="21" t="inlineStr"/>
      <c r="T9" s="21" t="inlineStr"/>
      <c r="U9" s="21" t="inlineStr"/>
      <c r="V9" s="21" t="inlineStr"/>
      <c r="W9" s="21" t="inlineStr"/>
      <c r="X9" s="21" t="inlineStr"/>
      <c r="Y9" s="21" t="inlineStr"/>
      <c r="Z9" s="21" t="inlineStr"/>
      <c r="AA9" s="21" t="inlineStr"/>
      <c r="AB9" s="21" t="inlineStr"/>
      <c r="AC9" s="21" t="inlineStr"/>
      <c r="AD9" s="21" t="inlineStr"/>
      <c r="AE9" s="21" t="inlineStr"/>
      <c r="AF9" s="21" t="inlineStr"/>
      <c r="AG9" s="21" t="inlineStr"/>
      <c r="AH9" s="21" t="inlineStr"/>
      <c r="AI9" s="21" t="inlineStr"/>
      <c r="AJ9" s="22">
        <f>IF($A9=1,SUMPRODUCT(($E$6:$AI$6&lt;=$B$3)*(E9:AI9)),"")</f>
        <v/>
      </c>
    </row>
    <row r="10">
      <c r="A10" s="19">
        <f>Setup!D12</f>
        <v/>
      </c>
      <c r="B10" s="20">
        <f>Setup!A12</f>
        <v/>
      </c>
      <c r="C10" s="19">
        <f>Setup!B12</f>
        <v/>
      </c>
      <c r="D10" s="19">
        <f>Setup!E12</f>
        <v/>
      </c>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2">
        <f>IF($A10=1,SUMPRODUCT(($E$6:$AI$6&lt;=$B$3)*(E10:AI10)),"")</f>
        <v/>
      </c>
    </row>
    <row r="11">
      <c r="A11" s="19">
        <f>Setup!D13</f>
        <v/>
      </c>
      <c r="B11" s="20">
        <f>Setup!A13</f>
        <v/>
      </c>
      <c r="C11" s="19">
        <f>Setup!B13</f>
        <v/>
      </c>
      <c r="D11" s="19">
        <f>Setup!E13</f>
        <v/>
      </c>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c r="R11" s="21" t="inlineStr"/>
      <c r="S11" s="21" t="inlineStr"/>
      <c r="T11" s="21" t="inlineStr"/>
      <c r="U11" s="21" t="inlineStr"/>
      <c r="V11" s="21" t="inlineStr"/>
      <c r="W11" s="21" t="inlineStr"/>
      <c r="X11" s="21" t="inlineStr"/>
      <c r="Y11" s="21" t="inlineStr"/>
      <c r="Z11" s="21" t="inlineStr"/>
      <c r="AA11" s="21" t="inlineStr"/>
      <c r="AB11" s="21" t="inlineStr"/>
      <c r="AC11" s="21" t="inlineStr"/>
      <c r="AD11" s="21" t="inlineStr"/>
      <c r="AE11" s="21" t="inlineStr"/>
      <c r="AF11" s="21" t="inlineStr"/>
      <c r="AG11" s="21" t="inlineStr"/>
      <c r="AH11" s="21" t="inlineStr"/>
      <c r="AI11" s="21" t="inlineStr"/>
      <c r="AJ11" s="22">
        <f>IF($A11=1,SUMPRODUCT(($E$6:$AI$6&lt;=$B$3)*(E11:AI11)),"")</f>
        <v/>
      </c>
    </row>
    <row r="12">
      <c r="A12" s="19">
        <f>Setup!D14</f>
        <v/>
      </c>
      <c r="B12" s="20">
        <f>Setup!A14</f>
        <v/>
      </c>
      <c r="C12" s="19">
        <f>Setup!B14</f>
        <v/>
      </c>
      <c r="D12" s="19">
        <f>Setup!E14</f>
        <v/>
      </c>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2">
        <f>IF($A12=1,SUMPRODUCT(($E$6:$AI$6&lt;=$B$3)*(E12:AI12)),"")</f>
        <v/>
      </c>
    </row>
    <row r="13">
      <c r="A13" s="19">
        <f>Setup!D15</f>
        <v/>
      </c>
      <c r="B13" s="20">
        <f>Setup!A15</f>
        <v/>
      </c>
      <c r="C13" s="19">
        <f>Setup!B15</f>
        <v/>
      </c>
      <c r="D13" s="19">
        <f>Setup!E15</f>
        <v/>
      </c>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c r="U13" s="21" t="inlineStr"/>
      <c r="V13" s="21" t="inlineStr"/>
      <c r="W13" s="21" t="inlineStr"/>
      <c r="X13" s="21" t="inlineStr"/>
      <c r="Y13" s="21" t="inlineStr"/>
      <c r="Z13" s="21" t="inlineStr"/>
      <c r="AA13" s="21" t="inlineStr"/>
      <c r="AB13" s="21" t="inlineStr"/>
      <c r="AC13" s="21" t="inlineStr"/>
      <c r="AD13" s="21" t="inlineStr"/>
      <c r="AE13" s="21" t="inlineStr"/>
      <c r="AF13" s="21" t="inlineStr"/>
      <c r="AG13" s="21" t="inlineStr"/>
      <c r="AH13" s="21" t="inlineStr"/>
      <c r="AI13" s="21" t="inlineStr"/>
      <c r="AJ13" s="22">
        <f>IF($A13=1,SUMPRODUCT(($E$6:$AI$6&lt;=$B$3)*(E13:AI13)),"")</f>
        <v/>
      </c>
    </row>
    <row r="14">
      <c r="A14" s="19">
        <f>Setup!D16</f>
        <v/>
      </c>
      <c r="B14" s="20">
        <f>Setup!A16</f>
        <v/>
      </c>
      <c r="C14" s="19">
        <f>Setup!B16</f>
        <v/>
      </c>
      <c r="D14" s="19">
        <f>Setup!E16</f>
        <v/>
      </c>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2">
        <f>IF($A14=1,SUMPRODUCT(($E$6:$AI$6&lt;=$B$3)*(E14:AI14)),"")</f>
        <v/>
      </c>
    </row>
    <row r="15">
      <c r="A15" s="19">
        <f>Setup!D17</f>
        <v/>
      </c>
      <c r="B15" s="20">
        <f>Setup!A17</f>
        <v/>
      </c>
      <c r="C15" s="19">
        <f>Setup!B17</f>
        <v/>
      </c>
      <c r="D15" s="19">
        <f>Setup!E17</f>
        <v/>
      </c>
      <c r="E15" s="21" t="inlineStr"/>
      <c r="F15" s="21" t="inlineStr"/>
      <c r="G15" s="21" t="inlineStr"/>
      <c r="H15" s="21" t="inlineStr"/>
      <c r="I15" s="21" t="inlineStr"/>
      <c r="J15" s="21" t="inlineStr"/>
      <c r="K15" s="21" t="inlineStr"/>
      <c r="L15" s="21" t="inlineStr"/>
      <c r="M15" s="21" t="inlineStr"/>
      <c r="N15" s="21" t="inlineStr"/>
      <c r="O15" s="21" t="inlineStr"/>
      <c r="P15" s="21" t="inlineStr"/>
      <c r="Q15" s="21" t="inlineStr"/>
      <c r="R15" s="21" t="inlineStr"/>
      <c r="S15" s="21" t="inlineStr"/>
      <c r="T15" s="21" t="inlineStr"/>
      <c r="U15" s="21" t="inlineStr"/>
      <c r="V15" s="21" t="inlineStr"/>
      <c r="W15" s="21" t="inlineStr"/>
      <c r="X15" s="21" t="inlineStr"/>
      <c r="Y15" s="21" t="inlineStr"/>
      <c r="Z15" s="21" t="inlineStr"/>
      <c r="AA15" s="21" t="inlineStr"/>
      <c r="AB15" s="21" t="inlineStr"/>
      <c r="AC15" s="21" t="inlineStr"/>
      <c r="AD15" s="21" t="inlineStr"/>
      <c r="AE15" s="21" t="inlineStr"/>
      <c r="AF15" s="21" t="inlineStr"/>
      <c r="AG15" s="21" t="inlineStr"/>
      <c r="AH15" s="21" t="inlineStr"/>
      <c r="AI15" s="21" t="inlineStr"/>
      <c r="AJ15" s="22">
        <f>IF($A15=1,SUMPRODUCT(($E$6:$AI$6&lt;=$B$3)*(E15:AI15)),"")</f>
        <v/>
      </c>
    </row>
    <row r="16">
      <c r="A16" s="19">
        <f>Setup!D18</f>
        <v/>
      </c>
      <c r="B16" s="20">
        <f>Setup!A18</f>
        <v/>
      </c>
      <c r="C16" s="19">
        <f>Setup!B18</f>
        <v/>
      </c>
      <c r="D16" s="19">
        <f>Setup!E18</f>
        <v/>
      </c>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2">
        <f>IF($A16=1,SUMPRODUCT(($E$6:$AI$6&lt;=$B$3)*(E16:AI16)),"")</f>
        <v/>
      </c>
    </row>
    <row r="17">
      <c r="A17" s="19">
        <f>Setup!D19</f>
        <v/>
      </c>
      <c r="B17" s="20">
        <f>Setup!A19</f>
        <v/>
      </c>
      <c r="C17" s="19">
        <f>Setup!B19</f>
        <v/>
      </c>
      <c r="D17" s="19">
        <f>Setup!E19</f>
        <v/>
      </c>
      <c r="E17" s="21" t="inlineStr"/>
      <c r="F17" s="21" t="inlineStr"/>
      <c r="G17" s="21" t="inlineStr"/>
      <c r="H17" s="21" t="inlineStr"/>
      <c r="I17" s="21" t="inlineStr"/>
      <c r="J17" s="21" t="inlineStr"/>
      <c r="K17" s="21" t="inlineStr"/>
      <c r="L17" s="21" t="inlineStr"/>
      <c r="M17" s="21" t="inlineStr"/>
      <c r="N17" s="21" t="inlineStr"/>
      <c r="O17" s="21" t="inlineStr"/>
      <c r="P17" s="21" t="inlineStr"/>
      <c r="Q17" s="21" t="inlineStr"/>
      <c r="R17" s="21" t="inlineStr"/>
      <c r="S17" s="21" t="inlineStr"/>
      <c r="T17" s="21" t="inlineStr"/>
      <c r="U17" s="21" t="inlineStr"/>
      <c r="V17" s="21" t="inlineStr"/>
      <c r="W17" s="21" t="inlineStr"/>
      <c r="X17" s="21" t="inlineStr"/>
      <c r="Y17" s="21" t="inlineStr"/>
      <c r="Z17" s="21" t="inlineStr"/>
      <c r="AA17" s="21" t="inlineStr"/>
      <c r="AB17" s="21" t="inlineStr"/>
      <c r="AC17" s="21" t="inlineStr"/>
      <c r="AD17" s="21" t="inlineStr"/>
      <c r="AE17" s="21" t="inlineStr"/>
      <c r="AF17" s="21" t="inlineStr"/>
      <c r="AG17" s="21" t="inlineStr"/>
      <c r="AH17" s="21" t="inlineStr"/>
      <c r="AI17" s="21" t="inlineStr"/>
      <c r="AJ17" s="22">
        <f>IF($A17=1,SUMPRODUCT(($E$6:$AI$6&lt;=$B$3)*(E17:AI17)),"")</f>
        <v/>
      </c>
    </row>
    <row r="18">
      <c r="A18" s="19">
        <f>Setup!D20</f>
        <v/>
      </c>
      <c r="B18" s="20">
        <f>Setup!A20</f>
        <v/>
      </c>
      <c r="C18" s="19">
        <f>Setup!B20</f>
        <v/>
      </c>
      <c r="D18" s="19">
        <f>Setup!E20</f>
        <v/>
      </c>
      <c r="E18" s="21" t="inlineStr"/>
      <c r="F18" s="21" t="inlineStr"/>
      <c r="G18" s="21" t="inlineStr"/>
      <c r="H18" s="21" t="inlineStr"/>
      <c r="I18" s="21" t="inlineStr"/>
      <c r="J18" s="21" t="inlineStr"/>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2">
        <f>IF($A18=1,SUMPRODUCT(($E$6:$AI$6&lt;=$B$3)*(E18:AI18)),"")</f>
        <v/>
      </c>
    </row>
    <row r="19">
      <c r="A19" s="19">
        <f>Setup!D21</f>
        <v/>
      </c>
      <c r="B19" s="20">
        <f>Setup!A21</f>
        <v/>
      </c>
      <c r="C19" s="19">
        <f>Setup!B21</f>
        <v/>
      </c>
      <c r="D19" s="19">
        <f>Setup!E21</f>
        <v/>
      </c>
      <c r="E19" s="21" t="inlineStr"/>
      <c r="F19" s="21" t="inlineStr"/>
      <c r="G19" s="21" t="inlineStr"/>
      <c r="H19" s="21" t="inlineStr"/>
      <c r="I19" s="21" t="inlineStr"/>
      <c r="J19" s="21" t="inlineStr"/>
      <c r="K19" s="21" t="inlineStr"/>
      <c r="L19" s="21" t="inlineStr"/>
      <c r="M19" s="21" t="inlineStr"/>
      <c r="N19" s="21" t="inlineStr"/>
      <c r="O19" s="21" t="inlineStr"/>
      <c r="P19" s="21" t="inlineStr"/>
      <c r="Q19" s="21" t="inlineStr"/>
      <c r="R19" s="21" t="inlineStr"/>
      <c r="S19" s="21" t="inlineStr"/>
      <c r="T19" s="21" t="inlineStr"/>
      <c r="U19" s="21" t="inlineStr"/>
      <c r="V19" s="21" t="inlineStr"/>
      <c r="W19" s="21" t="inlineStr"/>
      <c r="X19" s="21" t="inlineStr"/>
      <c r="Y19" s="21" t="inlineStr"/>
      <c r="Z19" s="21" t="inlineStr"/>
      <c r="AA19" s="21" t="inlineStr"/>
      <c r="AB19" s="21" t="inlineStr"/>
      <c r="AC19" s="21" t="inlineStr"/>
      <c r="AD19" s="21" t="inlineStr"/>
      <c r="AE19" s="21" t="inlineStr"/>
      <c r="AF19" s="21" t="inlineStr"/>
      <c r="AG19" s="21" t="inlineStr"/>
      <c r="AH19" s="21" t="inlineStr"/>
      <c r="AI19" s="21" t="inlineStr"/>
      <c r="AJ19" s="22">
        <f>IF($A19=1,SUMPRODUCT(($E$6:$AI$6&lt;=$B$3)*(E19:AI19)),"")</f>
        <v/>
      </c>
    </row>
    <row r="20">
      <c r="A20" s="19">
        <f>Setup!D22</f>
        <v/>
      </c>
      <c r="B20" s="20">
        <f>Setup!A22</f>
        <v/>
      </c>
      <c r="C20" s="19">
        <f>Setup!B22</f>
        <v/>
      </c>
      <c r="D20" s="19">
        <f>Setup!E22</f>
        <v/>
      </c>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2">
        <f>IF($A20=1,SUMPRODUCT(($E$6:$AI$6&lt;=$B$3)*(E20:AI20)),"")</f>
        <v/>
      </c>
    </row>
    <row r="21">
      <c r="A21" s="19">
        <f>Setup!D23</f>
        <v/>
      </c>
      <c r="B21" s="20">
        <f>Setup!A23</f>
        <v/>
      </c>
      <c r="C21" s="19">
        <f>Setup!B23</f>
        <v/>
      </c>
      <c r="D21" s="19">
        <f>Setup!E23</f>
        <v/>
      </c>
      <c r="E21" s="21" t="inlineStr"/>
      <c r="F21" s="21" t="inlineStr"/>
      <c r="G21" s="21" t="inlineStr"/>
      <c r="H21" s="21" t="inlineStr"/>
      <c r="I21" s="21" t="inlineStr"/>
      <c r="J21" s="21" t="inlineStr"/>
      <c r="K21" s="21" t="inlineStr"/>
      <c r="L21" s="21" t="inlineStr"/>
      <c r="M21" s="21" t="inlineStr"/>
      <c r="N21" s="21" t="inlineStr"/>
      <c r="O21" s="21" t="inlineStr"/>
      <c r="P21" s="21" t="inlineStr"/>
      <c r="Q21" s="21" t="inlineStr"/>
      <c r="R21" s="21" t="inlineStr"/>
      <c r="S21" s="21" t="inlineStr"/>
      <c r="T21" s="21" t="inlineStr"/>
      <c r="U21" s="21" t="inlineStr"/>
      <c r="V21" s="21" t="inlineStr"/>
      <c r="W21" s="21" t="inlineStr"/>
      <c r="X21" s="21" t="inlineStr"/>
      <c r="Y21" s="21" t="inlineStr"/>
      <c r="Z21" s="21" t="inlineStr"/>
      <c r="AA21" s="21" t="inlineStr"/>
      <c r="AB21" s="21" t="inlineStr"/>
      <c r="AC21" s="21" t="inlineStr"/>
      <c r="AD21" s="21" t="inlineStr"/>
      <c r="AE21" s="21" t="inlineStr"/>
      <c r="AF21" s="21" t="inlineStr"/>
      <c r="AG21" s="21" t="inlineStr"/>
      <c r="AH21" s="21" t="inlineStr"/>
      <c r="AI21" s="21" t="inlineStr"/>
      <c r="AJ21" s="22">
        <f>IF($A21=1,SUMPRODUCT(($E$6:$AI$6&lt;=$B$3)*(E21:AI21)),"")</f>
        <v/>
      </c>
    </row>
    <row r="22">
      <c r="A22" s="19">
        <f>Setup!D24</f>
        <v/>
      </c>
      <c r="B22" s="20">
        <f>Setup!A24</f>
        <v/>
      </c>
      <c r="C22" s="19">
        <f>Setup!B24</f>
        <v/>
      </c>
      <c r="D22" s="19">
        <f>Setup!E24</f>
        <v/>
      </c>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c r="Y22" s="21" t="inlineStr"/>
      <c r="Z22" s="21" t="inlineStr"/>
      <c r="AA22" s="21" t="inlineStr"/>
      <c r="AB22" s="21" t="inlineStr"/>
      <c r="AC22" s="21" t="inlineStr"/>
      <c r="AD22" s="21" t="inlineStr"/>
      <c r="AE22" s="21" t="inlineStr"/>
      <c r="AF22" s="21" t="inlineStr"/>
      <c r="AG22" s="21" t="inlineStr"/>
      <c r="AH22" s="21" t="inlineStr"/>
      <c r="AI22" s="21" t="inlineStr"/>
      <c r="AJ22" s="22">
        <f>IF($A22=1,SUMPRODUCT(($E$6:$AI$6&lt;=$B$3)*(E22:AI22)),"")</f>
        <v/>
      </c>
    </row>
    <row r="23">
      <c r="A23" s="19">
        <f>Setup!D25</f>
        <v/>
      </c>
      <c r="B23" s="20">
        <f>Setup!A25</f>
        <v/>
      </c>
      <c r="C23" s="19">
        <f>Setup!B25</f>
        <v/>
      </c>
      <c r="D23" s="19">
        <f>Setup!E25</f>
        <v/>
      </c>
      <c r="E23" s="21" t="inlineStr"/>
      <c r="F23" s="21" t="inlineStr"/>
      <c r="G23" s="21" t="inlineStr"/>
      <c r="H23" s="21" t="inlineStr"/>
      <c r="I23" s="21" t="inlineStr"/>
      <c r="J23" s="21" t="inlineStr"/>
      <c r="K23" s="21" t="inlineStr"/>
      <c r="L23" s="21" t="inlineStr"/>
      <c r="M23" s="21" t="inlineStr"/>
      <c r="N23" s="21" t="inlineStr"/>
      <c r="O23" s="21" t="inlineStr"/>
      <c r="P23" s="21" t="inlineStr"/>
      <c r="Q23" s="21" t="inlineStr"/>
      <c r="R23" s="21" t="inlineStr"/>
      <c r="S23" s="21" t="inlineStr"/>
      <c r="T23" s="21" t="inlineStr"/>
      <c r="U23" s="21" t="inlineStr"/>
      <c r="V23" s="21" t="inlineStr"/>
      <c r="W23" s="21" t="inlineStr"/>
      <c r="X23" s="21" t="inlineStr"/>
      <c r="Y23" s="21" t="inlineStr"/>
      <c r="Z23" s="21" t="inlineStr"/>
      <c r="AA23" s="21" t="inlineStr"/>
      <c r="AB23" s="21" t="inlineStr"/>
      <c r="AC23" s="21" t="inlineStr"/>
      <c r="AD23" s="21" t="inlineStr"/>
      <c r="AE23" s="21" t="inlineStr"/>
      <c r="AF23" s="21" t="inlineStr"/>
      <c r="AG23" s="21" t="inlineStr"/>
      <c r="AH23" s="21" t="inlineStr"/>
      <c r="AI23" s="21" t="inlineStr"/>
      <c r="AJ23" s="22">
        <f>IF($A23=1,SUMPRODUCT(($E$6:$AI$6&lt;=$B$3)*(E23:AI23)),"")</f>
        <v/>
      </c>
    </row>
    <row r="24">
      <c r="A24" s="19">
        <f>Setup!D26</f>
        <v/>
      </c>
      <c r="B24" s="20">
        <f>Setup!A26</f>
        <v/>
      </c>
      <c r="C24" s="19">
        <f>Setup!B26</f>
        <v/>
      </c>
      <c r="D24" s="19">
        <f>Setup!E26</f>
        <v/>
      </c>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c r="Y24" s="21" t="inlineStr"/>
      <c r="Z24" s="21" t="inlineStr"/>
      <c r="AA24" s="21" t="inlineStr"/>
      <c r="AB24" s="21" t="inlineStr"/>
      <c r="AC24" s="21" t="inlineStr"/>
      <c r="AD24" s="21" t="inlineStr"/>
      <c r="AE24" s="21" t="inlineStr"/>
      <c r="AF24" s="21" t="inlineStr"/>
      <c r="AG24" s="21" t="inlineStr"/>
      <c r="AH24" s="21" t="inlineStr"/>
      <c r="AI24" s="21" t="inlineStr"/>
      <c r="AJ24" s="22">
        <f>IF($A24=1,SUMPRODUCT(($E$6:$AI$6&lt;=$B$3)*(E24:AI24)),"")</f>
        <v/>
      </c>
    </row>
    <row r="25">
      <c r="A25" s="19">
        <f>Setup!D27</f>
        <v/>
      </c>
      <c r="B25" s="20">
        <f>Setup!A27</f>
        <v/>
      </c>
      <c r="C25" s="19">
        <f>Setup!B27</f>
        <v/>
      </c>
      <c r="D25" s="19">
        <f>Setup!E27</f>
        <v/>
      </c>
      <c r="E25" s="21" t="inlineStr"/>
      <c r="F25" s="21" t="inlineStr"/>
      <c r="G25" s="21" t="inlineStr"/>
      <c r="H25" s="21" t="inlineStr"/>
      <c r="I25" s="21" t="inlineStr"/>
      <c r="J25" s="21" t="inlineStr"/>
      <c r="K25" s="21" t="inlineStr"/>
      <c r="L25" s="21" t="inlineStr"/>
      <c r="M25" s="21" t="inlineStr"/>
      <c r="N25" s="21" t="inlineStr"/>
      <c r="O25" s="21" t="inlineStr"/>
      <c r="P25" s="21" t="inlineStr"/>
      <c r="Q25" s="21" t="inlineStr"/>
      <c r="R25" s="21" t="inlineStr"/>
      <c r="S25" s="21" t="inlineStr"/>
      <c r="T25" s="21" t="inlineStr"/>
      <c r="U25" s="21" t="inlineStr"/>
      <c r="V25" s="21" t="inlineStr"/>
      <c r="W25" s="21" t="inlineStr"/>
      <c r="X25" s="21" t="inlineStr"/>
      <c r="Y25" s="21" t="inlineStr"/>
      <c r="Z25" s="21" t="inlineStr"/>
      <c r="AA25" s="21" t="inlineStr"/>
      <c r="AB25" s="21" t="inlineStr"/>
      <c r="AC25" s="21" t="inlineStr"/>
      <c r="AD25" s="21" t="inlineStr"/>
      <c r="AE25" s="21" t="inlineStr"/>
      <c r="AF25" s="21" t="inlineStr"/>
      <c r="AG25" s="21" t="inlineStr"/>
      <c r="AH25" s="21" t="inlineStr"/>
      <c r="AI25" s="21" t="inlineStr"/>
      <c r="AJ25" s="22">
        <f>IF($A25=1,SUMPRODUCT(($E$6:$AI$6&lt;=$B$3)*(E25:AI25)),"")</f>
        <v/>
      </c>
    </row>
    <row r="26">
      <c r="A26" s="19">
        <f>Setup!D28</f>
        <v/>
      </c>
      <c r="B26" s="20">
        <f>Setup!A28</f>
        <v/>
      </c>
      <c r="C26" s="19">
        <f>Setup!B28</f>
        <v/>
      </c>
      <c r="D26" s="19">
        <f>Setup!E28</f>
        <v/>
      </c>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2">
        <f>IF($A26=1,SUMPRODUCT(($E$6:$AI$6&lt;=$B$3)*(E26:AI26)),"")</f>
        <v/>
      </c>
    </row>
    <row r="29">
      <c r="A29" s="23" t="inlineStr">
        <is>
          <t>Daily summary</t>
        </is>
      </c>
    </row>
    <row r="30">
      <c r="A30" s="8" t="inlineStr">
        <is>
          <t>Good habits done</t>
        </is>
      </c>
      <c r="E30" s="19">
        <f>SUMPRODUCT(($A$7:$A$26=1)*($C$7:$C$26="Good")*(E7:E26))</f>
        <v/>
      </c>
      <c r="F30" s="19">
        <f>SUMPRODUCT(($A$7:$A$26=1)*($C$7:$C$26="Good")*(F7:F26))</f>
        <v/>
      </c>
      <c r="G30" s="19">
        <f>SUMPRODUCT(($A$7:$A$26=1)*($C$7:$C$26="Good")*(G7:G26))</f>
        <v/>
      </c>
      <c r="H30" s="19">
        <f>SUMPRODUCT(($A$7:$A$26=1)*($C$7:$C$26="Good")*(H7:H26))</f>
        <v/>
      </c>
      <c r="I30" s="19">
        <f>SUMPRODUCT(($A$7:$A$26=1)*($C$7:$C$26="Good")*(I7:I26))</f>
        <v/>
      </c>
      <c r="J30" s="19">
        <f>SUMPRODUCT(($A$7:$A$26=1)*($C$7:$C$26="Good")*(J7:J26))</f>
        <v/>
      </c>
      <c r="K30" s="19">
        <f>SUMPRODUCT(($A$7:$A$26=1)*($C$7:$C$26="Good")*(K7:K26))</f>
        <v/>
      </c>
      <c r="L30" s="19">
        <f>SUMPRODUCT(($A$7:$A$26=1)*($C$7:$C$26="Good")*(L7:L26))</f>
        <v/>
      </c>
      <c r="M30" s="19">
        <f>SUMPRODUCT(($A$7:$A$26=1)*($C$7:$C$26="Good")*(M7:M26))</f>
        <v/>
      </c>
      <c r="N30" s="19">
        <f>SUMPRODUCT(($A$7:$A$26=1)*($C$7:$C$26="Good")*(N7:N26))</f>
        <v/>
      </c>
      <c r="O30" s="19">
        <f>SUMPRODUCT(($A$7:$A$26=1)*($C$7:$C$26="Good")*(O7:O26))</f>
        <v/>
      </c>
      <c r="P30" s="19">
        <f>SUMPRODUCT(($A$7:$A$26=1)*($C$7:$C$26="Good")*(P7:P26))</f>
        <v/>
      </c>
      <c r="Q30" s="19">
        <f>SUMPRODUCT(($A$7:$A$26=1)*($C$7:$C$26="Good")*(Q7:Q26))</f>
        <v/>
      </c>
      <c r="R30" s="19">
        <f>SUMPRODUCT(($A$7:$A$26=1)*($C$7:$C$26="Good")*(R7:R26))</f>
        <v/>
      </c>
      <c r="S30" s="19">
        <f>SUMPRODUCT(($A$7:$A$26=1)*($C$7:$C$26="Good")*(S7:S26))</f>
        <v/>
      </c>
      <c r="T30" s="19">
        <f>SUMPRODUCT(($A$7:$A$26=1)*($C$7:$C$26="Good")*(T7:T26))</f>
        <v/>
      </c>
      <c r="U30" s="19">
        <f>SUMPRODUCT(($A$7:$A$26=1)*($C$7:$C$26="Good")*(U7:U26))</f>
        <v/>
      </c>
      <c r="V30" s="19">
        <f>SUMPRODUCT(($A$7:$A$26=1)*($C$7:$C$26="Good")*(V7:V26))</f>
        <v/>
      </c>
      <c r="W30" s="19">
        <f>SUMPRODUCT(($A$7:$A$26=1)*($C$7:$C$26="Good")*(W7:W26))</f>
        <v/>
      </c>
      <c r="X30" s="19">
        <f>SUMPRODUCT(($A$7:$A$26=1)*($C$7:$C$26="Good")*(X7:X26))</f>
        <v/>
      </c>
      <c r="Y30" s="19">
        <f>SUMPRODUCT(($A$7:$A$26=1)*($C$7:$C$26="Good")*(Y7:Y26))</f>
        <v/>
      </c>
      <c r="Z30" s="19">
        <f>SUMPRODUCT(($A$7:$A$26=1)*($C$7:$C$26="Good")*(Z7:Z26))</f>
        <v/>
      </c>
      <c r="AA30" s="19">
        <f>SUMPRODUCT(($A$7:$A$26=1)*($C$7:$C$26="Good")*(AA7:AA26))</f>
        <v/>
      </c>
      <c r="AB30" s="19">
        <f>SUMPRODUCT(($A$7:$A$26=1)*($C$7:$C$26="Good")*(AB7:AB26))</f>
        <v/>
      </c>
      <c r="AC30" s="19">
        <f>SUMPRODUCT(($A$7:$A$26=1)*($C$7:$C$26="Good")*(AC7:AC26))</f>
        <v/>
      </c>
      <c r="AD30" s="19">
        <f>SUMPRODUCT(($A$7:$A$26=1)*($C$7:$C$26="Good")*(AD7:AD26))</f>
        <v/>
      </c>
      <c r="AE30" s="19">
        <f>SUMPRODUCT(($A$7:$A$26=1)*($C$7:$C$26="Good")*(AE7:AE26))</f>
        <v/>
      </c>
      <c r="AF30" s="19">
        <f>SUMPRODUCT(($A$7:$A$26=1)*($C$7:$C$26="Good")*(AF7:AF26))</f>
        <v/>
      </c>
      <c r="AG30" s="19">
        <f>SUMPRODUCT(($A$7:$A$26=1)*($C$7:$C$26="Good")*(AG7:AG26))</f>
        <v/>
      </c>
      <c r="AH30" s="19">
        <f>SUMPRODUCT(($A$7:$A$26=1)*($C$7:$C$26="Good")*(AH7:AH26))</f>
        <v/>
      </c>
      <c r="AI30" s="19">
        <f>SUMPRODUCT(($A$7:$A$26=1)*($C$7:$C$26="Good")*(AI7:AI26))</f>
        <v/>
      </c>
      <c r="AL30" s="24" t="inlineStr">
        <is>
          <t>Monthly totals</t>
        </is>
      </c>
    </row>
    <row r="31">
      <c r="A31" s="8" t="inlineStr">
        <is>
          <t>Bad habits happened</t>
        </is>
      </c>
      <c r="E31" s="19">
        <f>SUMPRODUCT(($A$7:$A$26=1)*($C$7:$C$26="Bad")*(E7:E26))</f>
        <v/>
      </c>
      <c r="F31" s="19">
        <f>SUMPRODUCT(($A$7:$A$26=1)*($C$7:$C$26="Bad")*(F7:F26))</f>
        <v/>
      </c>
      <c r="G31" s="19">
        <f>SUMPRODUCT(($A$7:$A$26=1)*($C$7:$C$26="Bad")*(G7:G26))</f>
        <v/>
      </c>
      <c r="H31" s="19">
        <f>SUMPRODUCT(($A$7:$A$26=1)*($C$7:$C$26="Bad")*(H7:H26))</f>
        <v/>
      </c>
      <c r="I31" s="19">
        <f>SUMPRODUCT(($A$7:$A$26=1)*($C$7:$C$26="Bad")*(I7:I26))</f>
        <v/>
      </c>
      <c r="J31" s="19">
        <f>SUMPRODUCT(($A$7:$A$26=1)*($C$7:$C$26="Bad")*(J7:J26))</f>
        <v/>
      </c>
      <c r="K31" s="19">
        <f>SUMPRODUCT(($A$7:$A$26=1)*($C$7:$C$26="Bad")*(K7:K26))</f>
        <v/>
      </c>
      <c r="L31" s="19">
        <f>SUMPRODUCT(($A$7:$A$26=1)*($C$7:$C$26="Bad")*(L7:L26))</f>
        <v/>
      </c>
      <c r="M31" s="19">
        <f>SUMPRODUCT(($A$7:$A$26=1)*($C$7:$C$26="Bad")*(M7:M26))</f>
        <v/>
      </c>
      <c r="N31" s="19">
        <f>SUMPRODUCT(($A$7:$A$26=1)*($C$7:$C$26="Bad")*(N7:N26))</f>
        <v/>
      </c>
      <c r="O31" s="19">
        <f>SUMPRODUCT(($A$7:$A$26=1)*($C$7:$C$26="Bad")*(O7:O26))</f>
        <v/>
      </c>
      <c r="P31" s="19">
        <f>SUMPRODUCT(($A$7:$A$26=1)*($C$7:$C$26="Bad")*(P7:P26))</f>
        <v/>
      </c>
      <c r="Q31" s="19">
        <f>SUMPRODUCT(($A$7:$A$26=1)*($C$7:$C$26="Bad")*(Q7:Q26))</f>
        <v/>
      </c>
      <c r="R31" s="19">
        <f>SUMPRODUCT(($A$7:$A$26=1)*($C$7:$C$26="Bad")*(R7:R26))</f>
        <v/>
      </c>
      <c r="S31" s="19">
        <f>SUMPRODUCT(($A$7:$A$26=1)*($C$7:$C$26="Bad")*(S7:S26))</f>
        <v/>
      </c>
      <c r="T31" s="19">
        <f>SUMPRODUCT(($A$7:$A$26=1)*($C$7:$C$26="Bad")*(T7:T26))</f>
        <v/>
      </c>
      <c r="U31" s="19">
        <f>SUMPRODUCT(($A$7:$A$26=1)*($C$7:$C$26="Bad")*(U7:U26))</f>
        <v/>
      </c>
      <c r="V31" s="19">
        <f>SUMPRODUCT(($A$7:$A$26=1)*($C$7:$C$26="Bad")*(V7:V26))</f>
        <v/>
      </c>
      <c r="W31" s="19">
        <f>SUMPRODUCT(($A$7:$A$26=1)*($C$7:$C$26="Bad")*(W7:W26))</f>
        <v/>
      </c>
      <c r="X31" s="19">
        <f>SUMPRODUCT(($A$7:$A$26=1)*($C$7:$C$26="Bad")*(X7:X26))</f>
        <v/>
      </c>
      <c r="Y31" s="19">
        <f>SUMPRODUCT(($A$7:$A$26=1)*($C$7:$C$26="Bad")*(Y7:Y26))</f>
        <v/>
      </c>
      <c r="Z31" s="19">
        <f>SUMPRODUCT(($A$7:$A$26=1)*($C$7:$C$26="Bad")*(Z7:Z26))</f>
        <v/>
      </c>
      <c r="AA31" s="19">
        <f>SUMPRODUCT(($A$7:$A$26=1)*($C$7:$C$26="Bad")*(AA7:AA26))</f>
        <v/>
      </c>
      <c r="AB31" s="19">
        <f>SUMPRODUCT(($A$7:$A$26=1)*($C$7:$C$26="Bad")*(AB7:AB26))</f>
        <v/>
      </c>
      <c r="AC31" s="19">
        <f>SUMPRODUCT(($A$7:$A$26=1)*($C$7:$C$26="Bad")*(AC7:AC26))</f>
        <v/>
      </c>
      <c r="AD31" s="19">
        <f>SUMPRODUCT(($A$7:$A$26=1)*($C$7:$C$26="Bad")*(AD7:AD26))</f>
        <v/>
      </c>
      <c r="AE31" s="19">
        <f>SUMPRODUCT(($A$7:$A$26=1)*($C$7:$C$26="Bad")*(AE7:AE26))</f>
        <v/>
      </c>
      <c r="AF31" s="19">
        <f>SUMPRODUCT(($A$7:$A$26=1)*($C$7:$C$26="Bad")*(AF7:AF26))</f>
        <v/>
      </c>
      <c r="AG31" s="19">
        <f>SUMPRODUCT(($A$7:$A$26=1)*($C$7:$C$26="Bad")*(AG7:AG26))</f>
        <v/>
      </c>
      <c r="AH31" s="19">
        <f>SUMPRODUCT(($A$7:$A$26=1)*($C$7:$C$26="Bad")*(AH7:AH26))</f>
        <v/>
      </c>
      <c r="AI31" s="19">
        <f>SUMPRODUCT(($A$7:$A$26=1)*($C$7:$C$26="Bad")*(AI7:AI26))</f>
        <v/>
      </c>
      <c r="AL31" s="10" t="inlineStr">
        <is>
          <t>Good done</t>
        </is>
      </c>
      <c r="AM31" s="25">
        <f>SUMPRODUCT(($E$6:$AI$6&lt;=$B$3)*(E30:AI30))</f>
        <v/>
      </c>
    </row>
    <row r="32">
      <c r="A32" s="8" t="inlineStr">
        <is>
          <t>Net score</t>
        </is>
      </c>
      <c r="E32" s="19">
        <f>SUMPRODUCT(($A$7:$A$26=1)*($D$7:$D$26)*(E7:E26))</f>
        <v/>
      </c>
      <c r="F32" s="19">
        <f>SUMPRODUCT(($A$7:$A$26=1)*($D$7:$D$26)*(F7:F26))</f>
        <v/>
      </c>
      <c r="G32" s="19">
        <f>SUMPRODUCT(($A$7:$A$26=1)*($D$7:$D$26)*(G7:G26))</f>
        <v/>
      </c>
      <c r="H32" s="19">
        <f>SUMPRODUCT(($A$7:$A$26=1)*($D$7:$D$26)*(H7:H26))</f>
        <v/>
      </c>
      <c r="I32" s="19">
        <f>SUMPRODUCT(($A$7:$A$26=1)*($D$7:$D$26)*(I7:I26))</f>
        <v/>
      </c>
      <c r="J32" s="19">
        <f>SUMPRODUCT(($A$7:$A$26=1)*($D$7:$D$26)*(J7:J26))</f>
        <v/>
      </c>
      <c r="K32" s="19">
        <f>SUMPRODUCT(($A$7:$A$26=1)*($D$7:$D$26)*(K7:K26))</f>
        <v/>
      </c>
      <c r="L32" s="19">
        <f>SUMPRODUCT(($A$7:$A$26=1)*($D$7:$D$26)*(L7:L26))</f>
        <v/>
      </c>
      <c r="M32" s="19">
        <f>SUMPRODUCT(($A$7:$A$26=1)*($D$7:$D$26)*(M7:M26))</f>
        <v/>
      </c>
      <c r="N32" s="19">
        <f>SUMPRODUCT(($A$7:$A$26=1)*($D$7:$D$26)*(N7:N26))</f>
        <v/>
      </c>
      <c r="O32" s="19">
        <f>SUMPRODUCT(($A$7:$A$26=1)*($D$7:$D$26)*(O7:O26))</f>
        <v/>
      </c>
      <c r="P32" s="19">
        <f>SUMPRODUCT(($A$7:$A$26=1)*($D$7:$D$26)*(P7:P26))</f>
        <v/>
      </c>
      <c r="Q32" s="19">
        <f>SUMPRODUCT(($A$7:$A$26=1)*($D$7:$D$26)*(Q7:Q26))</f>
        <v/>
      </c>
      <c r="R32" s="19">
        <f>SUMPRODUCT(($A$7:$A$26=1)*($D$7:$D$26)*(R7:R26))</f>
        <v/>
      </c>
      <c r="S32" s="19">
        <f>SUMPRODUCT(($A$7:$A$26=1)*($D$7:$D$26)*(S7:S26))</f>
        <v/>
      </c>
      <c r="T32" s="19">
        <f>SUMPRODUCT(($A$7:$A$26=1)*($D$7:$D$26)*(T7:T26))</f>
        <v/>
      </c>
      <c r="U32" s="19">
        <f>SUMPRODUCT(($A$7:$A$26=1)*($D$7:$D$26)*(U7:U26))</f>
        <v/>
      </c>
      <c r="V32" s="19">
        <f>SUMPRODUCT(($A$7:$A$26=1)*($D$7:$D$26)*(V7:V26))</f>
        <v/>
      </c>
      <c r="W32" s="19">
        <f>SUMPRODUCT(($A$7:$A$26=1)*($D$7:$D$26)*(W7:W26))</f>
        <v/>
      </c>
      <c r="X32" s="19">
        <f>SUMPRODUCT(($A$7:$A$26=1)*($D$7:$D$26)*(X7:X26))</f>
        <v/>
      </c>
      <c r="Y32" s="19">
        <f>SUMPRODUCT(($A$7:$A$26=1)*($D$7:$D$26)*(Y7:Y26))</f>
        <v/>
      </c>
      <c r="Z32" s="19">
        <f>SUMPRODUCT(($A$7:$A$26=1)*($D$7:$D$26)*(Z7:Z26))</f>
        <v/>
      </c>
      <c r="AA32" s="19">
        <f>SUMPRODUCT(($A$7:$A$26=1)*($D$7:$D$26)*(AA7:AA26))</f>
        <v/>
      </c>
      <c r="AB32" s="19">
        <f>SUMPRODUCT(($A$7:$A$26=1)*($D$7:$D$26)*(AB7:AB26))</f>
        <v/>
      </c>
      <c r="AC32" s="19">
        <f>SUMPRODUCT(($A$7:$A$26=1)*($D$7:$D$26)*(AC7:AC26))</f>
        <v/>
      </c>
      <c r="AD32" s="19">
        <f>SUMPRODUCT(($A$7:$A$26=1)*($D$7:$D$26)*(AD7:AD26))</f>
        <v/>
      </c>
      <c r="AE32" s="19">
        <f>SUMPRODUCT(($A$7:$A$26=1)*($D$7:$D$26)*(AE7:AE26))</f>
        <v/>
      </c>
      <c r="AF32" s="19">
        <f>SUMPRODUCT(($A$7:$A$26=1)*($D$7:$D$26)*(AF7:AF26))</f>
        <v/>
      </c>
      <c r="AG32" s="19">
        <f>SUMPRODUCT(($A$7:$A$26=1)*($D$7:$D$26)*(AG7:AG26))</f>
        <v/>
      </c>
      <c r="AH32" s="19">
        <f>SUMPRODUCT(($A$7:$A$26=1)*($D$7:$D$26)*(AH7:AH26))</f>
        <v/>
      </c>
      <c r="AI32" s="19">
        <f>SUMPRODUCT(($A$7:$A$26=1)*($D$7:$D$26)*(AI7:AI26))</f>
        <v/>
      </c>
      <c r="AL32" s="10" t="inlineStr">
        <is>
          <t>Bad happened</t>
        </is>
      </c>
      <c r="AM32" s="25">
        <f>SUMPRODUCT(($E$6:$AI$6&lt;=$B$3)*(E31:AI31))</f>
        <v/>
      </c>
    </row>
    <row r="33">
      <c r="A33" s="8" t="inlineStr">
        <is>
          <t>Completion % (Good only)</t>
        </is>
      </c>
      <c r="E33" s="26">
        <f>IF(SUMPRODUCT(($A$7:$A$26=1)*($C$7:$C$26="Good"))=0,"",SUMPRODUCT(($A$7:$A$26=1)*($C$7:$C$26="Good")*(E7:E26))/SUMPRODUCT(($A$7:$A$26=1)*($C$7:$C$26="Good")))</f>
        <v/>
      </c>
      <c r="F33" s="26">
        <f>IF(SUMPRODUCT(($A$7:$A$26=1)*($C$7:$C$26="Good"))=0,"",SUMPRODUCT(($A$7:$A$26=1)*($C$7:$C$26="Good")*(F7:F26))/SUMPRODUCT(($A$7:$A$26=1)*($C$7:$C$26="Good")))</f>
        <v/>
      </c>
      <c r="G33" s="26">
        <f>IF(SUMPRODUCT(($A$7:$A$26=1)*($C$7:$C$26="Good"))=0,"",SUMPRODUCT(($A$7:$A$26=1)*($C$7:$C$26="Good")*(G7:G26))/SUMPRODUCT(($A$7:$A$26=1)*($C$7:$C$26="Good")))</f>
        <v/>
      </c>
      <c r="H33" s="26">
        <f>IF(SUMPRODUCT(($A$7:$A$26=1)*($C$7:$C$26="Good"))=0,"",SUMPRODUCT(($A$7:$A$26=1)*($C$7:$C$26="Good")*(H7:H26))/SUMPRODUCT(($A$7:$A$26=1)*($C$7:$C$26="Good")))</f>
        <v/>
      </c>
      <c r="I33" s="26">
        <f>IF(SUMPRODUCT(($A$7:$A$26=1)*($C$7:$C$26="Good"))=0,"",SUMPRODUCT(($A$7:$A$26=1)*($C$7:$C$26="Good")*(I7:I26))/SUMPRODUCT(($A$7:$A$26=1)*($C$7:$C$26="Good")))</f>
        <v/>
      </c>
      <c r="J33" s="26">
        <f>IF(SUMPRODUCT(($A$7:$A$26=1)*($C$7:$C$26="Good"))=0,"",SUMPRODUCT(($A$7:$A$26=1)*($C$7:$C$26="Good")*(J7:J26))/SUMPRODUCT(($A$7:$A$26=1)*($C$7:$C$26="Good")))</f>
        <v/>
      </c>
      <c r="K33" s="26">
        <f>IF(SUMPRODUCT(($A$7:$A$26=1)*($C$7:$C$26="Good"))=0,"",SUMPRODUCT(($A$7:$A$26=1)*($C$7:$C$26="Good")*(K7:K26))/SUMPRODUCT(($A$7:$A$26=1)*($C$7:$C$26="Good")))</f>
        <v/>
      </c>
      <c r="L33" s="26">
        <f>IF(SUMPRODUCT(($A$7:$A$26=1)*($C$7:$C$26="Good"))=0,"",SUMPRODUCT(($A$7:$A$26=1)*($C$7:$C$26="Good")*(L7:L26))/SUMPRODUCT(($A$7:$A$26=1)*($C$7:$C$26="Good")))</f>
        <v/>
      </c>
      <c r="M33" s="26">
        <f>IF(SUMPRODUCT(($A$7:$A$26=1)*($C$7:$C$26="Good"))=0,"",SUMPRODUCT(($A$7:$A$26=1)*($C$7:$C$26="Good")*(M7:M26))/SUMPRODUCT(($A$7:$A$26=1)*($C$7:$C$26="Good")))</f>
        <v/>
      </c>
      <c r="N33" s="26">
        <f>IF(SUMPRODUCT(($A$7:$A$26=1)*($C$7:$C$26="Good"))=0,"",SUMPRODUCT(($A$7:$A$26=1)*($C$7:$C$26="Good")*(N7:N26))/SUMPRODUCT(($A$7:$A$26=1)*($C$7:$C$26="Good")))</f>
        <v/>
      </c>
      <c r="O33" s="26">
        <f>IF(SUMPRODUCT(($A$7:$A$26=1)*($C$7:$C$26="Good"))=0,"",SUMPRODUCT(($A$7:$A$26=1)*($C$7:$C$26="Good")*(O7:O26))/SUMPRODUCT(($A$7:$A$26=1)*($C$7:$C$26="Good")))</f>
        <v/>
      </c>
      <c r="P33" s="26">
        <f>IF(SUMPRODUCT(($A$7:$A$26=1)*($C$7:$C$26="Good"))=0,"",SUMPRODUCT(($A$7:$A$26=1)*($C$7:$C$26="Good")*(P7:P26))/SUMPRODUCT(($A$7:$A$26=1)*($C$7:$C$26="Good")))</f>
        <v/>
      </c>
      <c r="Q33" s="26">
        <f>IF(SUMPRODUCT(($A$7:$A$26=1)*($C$7:$C$26="Good"))=0,"",SUMPRODUCT(($A$7:$A$26=1)*($C$7:$C$26="Good")*(Q7:Q26))/SUMPRODUCT(($A$7:$A$26=1)*($C$7:$C$26="Good")))</f>
        <v/>
      </c>
      <c r="R33" s="26">
        <f>IF(SUMPRODUCT(($A$7:$A$26=1)*($C$7:$C$26="Good"))=0,"",SUMPRODUCT(($A$7:$A$26=1)*($C$7:$C$26="Good")*(R7:R26))/SUMPRODUCT(($A$7:$A$26=1)*($C$7:$C$26="Good")))</f>
        <v/>
      </c>
      <c r="S33" s="26">
        <f>IF(SUMPRODUCT(($A$7:$A$26=1)*($C$7:$C$26="Good"))=0,"",SUMPRODUCT(($A$7:$A$26=1)*($C$7:$C$26="Good")*(S7:S26))/SUMPRODUCT(($A$7:$A$26=1)*($C$7:$C$26="Good")))</f>
        <v/>
      </c>
      <c r="T33" s="26">
        <f>IF(SUMPRODUCT(($A$7:$A$26=1)*($C$7:$C$26="Good"))=0,"",SUMPRODUCT(($A$7:$A$26=1)*($C$7:$C$26="Good")*(T7:T26))/SUMPRODUCT(($A$7:$A$26=1)*($C$7:$C$26="Good")))</f>
        <v/>
      </c>
      <c r="U33" s="26">
        <f>IF(SUMPRODUCT(($A$7:$A$26=1)*($C$7:$C$26="Good"))=0,"",SUMPRODUCT(($A$7:$A$26=1)*($C$7:$C$26="Good")*(U7:U26))/SUMPRODUCT(($A$7:$A$26=1)*($C$7:$C$26="Good")))</f>
        <v/>
      </c>
      <c r="V33" s="26">
        <f>IF(SUMPRODUCT(($A$7:$A$26=1)*($C$7:$C$26="Good"))=0,"",SUMPRODUCT(($A$7:$A$26=1)*($C$7:$C$26="Good")*(V7:V26))/SUMPRODUCT(($A$7:$A$26=1)*($C$7:$C$26="Good")))</f>
        <v/>
      </c>
      <c r="W33" s="26">
        <f>IF(SUMPRODUCT(($A$7:$A$26=1)*($C$7:$C$26="Good"))=0,"",SUMPRODUCT(($A$7:$A$26=1)*($C$7:$C$26="Good")*(W7:W26))/SUMPRODUCT(($A$7:$A$26=1)*($C$7:$C$26="Good")))</f>
        <v/>
      </c>
      <c r="X33" s="26">
        <f>IF(SUMPRODUCT(($A$7:$A$26=1)*($C$7:$C$26="Good"))=0,"",SUMPRODUCT(($A$7:$A$26=1)*($C$7:$C$26="Good")*(X7:X26))/SUMPRODUCT(($A$7:$A$26=1)*($C$7:$C$26="Good")))</f>
        <v/>
      </c>
      <c r="Y33" s="26">
        <f>IF(SUMPRODUCT(($A$7:$A$26=1)*($C$7:$C$26="Good"))=0,"",SUMPRODUCT(($A$7:$A$26=1)*($C$7:$C$26="Good")*(Y7:Y26))/SUMPRODUCT(($A$7:$A$26=1)*($C$7:$C$26="Good")))</f>
        <v/>
      </c>
      <c r="Z33" s="26">
        <f>IF(SUMPRODUCT(($A$7:$A$26=1)*($C$7:$C$26="Good"))=0,"",SUMPRODUCT(($A$7:$A$26=1)*($C$7:$C$26="Good")*(Z7:Z26))/SUMPRODUCT(($A$7:$A$26=1)*($C$7:$C$26="Good")))</f>
        <v/>
      </c>
      <c r="AA33" s="26">
        <f>IF(SUMPRODUCT(($A$7:$A$26=1)*($C$7:$C$26="Good"))=0,"",SUMPRODUCT(($A$7:$A$26=1)*($C$7:$C$26="Good")*(AA7:AA26))/SUMPRODUCT(($A$7:$A$26=1)*($C$7:$C$26="Good")))</f>
        <v/>
      </c>
      <c r="AB33" s="26">
        <f>IF(SUMPRODUCT(($A$7:$A$26=1)*($C$7:$C$26="Good"))=0,"",SUMPRODUCT(($A$7:$A$26=1)*($C$7:$C$26="Good")*(AB7:AB26))/SUMPRODUCT(($A$7:$A$26=1)*($C$7:$C$26="Good")))</f>
        <v/>
      </c>
      <c r="AC33" s="26">
        <f>IF(SUMPRODUCT(($A$7:$A$26=1)*($C$7:$C$26="Good"))=0,"",SUMPRODUCT(($A$7:$A$26=1)*($C$7:$C$26="Good")*(AC7:AC26))/SUMPRODUCT(($A$7:$A$26=1)*($C$7:$C$26="Good")))</f>
        <v/>
      </c>
      <c r="AD33" s="26">
        <f>IF(SUMPRODUCT(($A$7:$A$26=1)*($C$7:$C$26="Good"))=0,"",SUMPRODUCT(($A$7:$A$26=1)*($C$7:$C$26="Good")*(AD7:AD26))/SUMPRODUCT(($A$7:$A$26=1)*($C$7:$C$26="Good")))</f>
        <v/>
      </c>
      <c r="AE33" s="26">
        <f>IF(SUMPRODUCT(($A$7:$A$26=1)*($C$7:$C$26="Good"))=0,"",SUMPRODUCT(($A$7:$A$26=1)*($C$7:$C$26="Good")*(AE7:AE26))/SUMPRODUCT(($A$7:$A$26=1)*($C$7:$C$26="Good")))</f>
        <v/>
      </c>
      <c r="AF33" s="26">
        <f>IF(SUMPRODUCT(($A$7:$A$26=1)*($C$7:$C$26="Good"))=0,"",SUMPRODUCT(($A$7:$A$26=1)*($C$7:$C$26="Good")*(AF7:AF26))/SUMPRODUCT(($A$7:$A$26=1)*($C$7:$C$26="Good")))</f>
        <v/>
      </c>
      <c r="AG33" s="26">
        <f>IF(SUMPRODUCT(($A$7:$A$26=1)*($C$7:$C$26="Good"))=0,"",SUMPRODUCT(($A$7:$A$26=1)*($C$7:$C$26="Good")*(AG7:AG26))/SUMPRODUCT(($A$7:$A$26=1)*($C$7:$C$26="Good")))</f>
        <v/>
      </c>
      <c r="AH33" s="26">
        <f>IF(SUMPRODUCT(($A$7:$A$26=1)*($C$7:$C$26="Good"))=0,"",SUMPRODUCT(($A$7:$A$26=1)*($C$7:$C$26="Good")*(AH7:AH26))/SUMPRODUCT(($A$7:$A$26=1)*($C$7:$C$26="Good")))</f>
        <v/>
      </c>
      <c r="AI33" s="26">
        <f>IF(SUMPRODUCT(($A$7:$A$26=1)*($C$7:$C$26="Good"))=0,"",SUMPRODUCT(($A$7:$A$26=1)*($C$7:$C$26="Good")*(AI7:AI26))/SUMPRODUCT(($A$7:$A$26=1)*($C$7:$C$26="Good")))</f>
        <v/>
      </c>
      <c r="AL33" s="10" t="inlineStr">
        <is>
          <t>Net score</t>
        </is>
      </c>
      <c r="AM33" s="25">
        <f>SUMPRODUCT(($E$6:$AI$6&lt;=$B$3)*(E32:AI32))</f>
        <v/>
      </c>
    </row>
    <row r="34">
      <c r="AL34" s="10" t="inlineStr">
        <is>
          <t>Avg completion (Good)</t>
        </is>
      </c>
      <c r="AM34" s="27">
        <f>AVERAGEIF($E$6:$AI$6,"&lt;="&amp;$B$3,E33:AI33)</f>
        <v/>
      </c>
    </row>
  </sheetData>
  <mergeCells count="6">
    <mergeCell ref="A31:D31"/>
    <mergeCell ref="A1:AI1"/>
    <mergeCell ref="A30:D30"/>
    <mergeCell ref="A29:D29"/>
    <mergeCell ref="A33:D33"/>
    <mergeCell ref="A32:D32"/>
  </mergeCells>
  <conditionalFormatting sqref="E7:AI26">
    <cfRule type="expression" priority="1" dxfId="0">
      <formula>E7=1</formula>
    </cfRule>
  </conditionalFormatting>
  <conditionalFormatting sqref="E5:E33">
    <cfRule type="expression" priority="2" dxfId="1">
      <formula>E$6&gt;$B$3</formula>
    </cfRule>
  </conditionalFormatting>
  <conditionalFormatting sqref="F5:F33">
    <cfRule type="expression" priority="3" dxfId="1">
      <formula>F$6&gt;$B$3</formula>
    </cfRule>
  </conditionalFormatting>
  <conditionalFormatting sqref="G5:G33">
    <cfRule type="expression" priority="4" dxfId="1">
      <formula>G$6&gt;$B$3</formula>
    </cfRule>
  </conditionalFormatting>
  <conditionalFormatting sqref="H5:H33">
    <cfRule type="expression" priority="5" dxfId="1">
      <formula>H$6&gt;$B$3</formula>
    </cfRule>
  </conditionalFormatting>
  <conditionalFormatting sqref="I5:I33">
    <cfRule type="expression" priority="6" dxfId="1">
      <formula>I$6&gt;$B$3</formula>
    </cfRule>
  </conditionalFormatting>
  <conditionalFormatting sqref="J5:J33">
    <cfRule type="expression" priority="7" dxfId="1">
      <formula>J$6&gt;$B$3</formula>
    </cfRule>
  </conditionalFormatting>
  <conditionalFormatting sqref="K5:K33">
    <cfRule type="expression" priority="8" dxfId="1">
      <formula>K$6&gt;$B$3</formula>
    </cfRule>
  </conditionalFormatting>
  <conditionalFormatting sqref="L5:L33">
    <cfRule type="expression" priority="9" dxfId="1">
      <formula>L$6&gt;$B$3</formula>
    </cfRule>
  </conditionalFormatting>
  <conditionalFormatting sqref="M5:M33">
    <cfRule type="expression" priority="10" dxfId="1">
      <formula>M$6&gt;$B$3</formula>
    </cfRule>
  </conditionalFormatting>
  <conditionalFormatting sqref="N5:N33">
    <cfRule type="expression" priority="11" dxfId="1">
      <formula>N$6&gt;$B$3</formula>
    </cfRule>
  </conditionalFormatting>
  <conditionalFormatting sqref="O5:O33">
    <cfRule type="expression" priority="12" dxfId="1">
      <formula>O$6&gt;$B$3</formula>
    </cfRule>
  </conditionalFormatting>
  <conditionalFormatting sqref="P5:P33">
    <cfRule type="expression" priority="13" dxfId="1">
      <formula>P$6&gt;$B$3</formula>
    </cfRule>
  </conditionalFormatting>
  <conditionalFormatting sqref="Q5:Q33">
    <cfRule type="expression" priority="14" dxfId="1">
      <formula>Q$6&gt;$B$3</formula>
    </cfRule>
  </conditionalFormatting>
  <conditionalFormatting sqref="R5:R33">
    <cfRule type="expression" priority="15" dxfId="1">
      <formula>R$6&gt;$B$3</formula>
    </cfRule>
  </conditionalFormatting>
  <conditionalFormatting sqref="S5:S33">
    <cfRule type="expression" priority="16" dxfId="1">
      <formula>S$6&gt;$B$3</formula>
    </cfRule>
  </conditionalFormatting>
  <conditionalFormatting sqref="T5:T33">
    <cfRule type="expression" priority="17" dxfId="1">
      <formula>T$6&gt;$B$3</formula>
    </cfRule>
  </conditionalFormatting>
  <conditionalFormatting sqref="U5:U33">
    <cfRule type="expression" priority="18" dxfId="1">
      <formula>U$6&gt;$B$3</formula>
    </cfRule>
  </conditionalFormatting>
  <conditionalFormatting sqref="V5:V33">
    <cfRule type="expression" priority="19" dxfId="1">
      <formula>V$6&gt;$B$3</formula>
    </cfRule>
  </conditionalFormatting>
  <conditionalFormatting sqref="W5:W33">
    <cfRule type="expression" priority="20" dxfId="1">
      <formula>W$6&gt;$B$3</formula>
    </cfRule>
  </conditionalFormatting>
  <conditionalFormatting sqref="X5:X33">
    <cfRule type="expression" priority="21" dxfId="1">
      <formula>X$6&gt;$B$3</formula>
    </cfRule>
  </conditionalFormatting>
  <conditionalFormatting sqref="Y5:Y33">
    <cfRule type="expression" priority="22" dxfId="1">
      <formula>Y$6&gt;$B$3</formula>
    </cfRule>
  </conditionalFormatting>
  <conditionalFormatting sqref="Z5:Z33">
    <cfRule type="expression" priority="23" dxfId="1">
      <formula>Z$6&gt;$B$3</formula>
    </cfRule>
  </conditionalFormatting>
  <conditionalFormatting sqref="AA5:AA33">
    <cfRule type="expression" priority="24" dxfId="1">
      <formula>AA$6&gt;$B$3</formula>
    </cfRule>
  </conditionalFormatting>
  <conditionalFormatting sqref="AB5:AB33">
    <cfRule type="expression" priority="25" dxfId="1">
      <formula>AB$6&gt;$B$3</formula>
    </cfRule>
  </conditionalFormatting>
  <conditionalFormatting sqref="AC5:AC33">
    <cfRule type="expression" priority="26" dxfId="1">
      <formula>AC$6&gt;$B$3</formula>
    </cfRule>
  </conditionalFormatting>
  <conditionalFormatting sqref="AD5:AD33">
    <cfRule type="expression" priority="27" dxfId="1">
      <formula>AD$6&gt;$B$3</formula>
    </cfRule>
  </conditionalFormatting>
  <conditionalFormatting sqref="AE5:AE33">
    <cfRule type="expression" priority="28" dxfId="1">
      <formula>AE$6&gt;$B$3</formula>
    </cfRule>
  </conditionalFormatting>
  <conditionalFormatting sqref="AF5:AF33">
    <cfRule type="expression" priority="29" dxfId="1">
      <formula>AF$6&gt;$B$3</formula>
    </cfRule>
  </conditionalFormatting>
  <conditionalFormatting sqref="AG5:AG33">
    <cfRule type="expression" priority="30" dxfId="1">
      <formula>AG$6&gt;$B$3</formula>
    </cfRule>
  </conditionalFormatting>
  <conditionalFormatting sqref="AH5:AH33">
    <cfRule type="expression" priority="31" dxfId="1">
      <formula>AH$6&gt;$B$3</formula>
    </cfRule>
  </conditionalFormatting>
  <conditionalFormatting sqref="AI5:AI33">
    <cfRule type="expression" priority="32" dxfId="1">
      <formula>AI$6&gt;$B$3</formula>
    </cfRule>
  </conditionalFormatting>
  <dataValidations count="1">
    <dataValidation sqref="E7 E8 E9 E10 E11 E12 E13 E14 E15 E16 E17 E18 E19 E20 E21 E22 E23 E24 E25 E26 F7 F8 F9 F10 F11 F12 F13 F14 F15 F16 F17 F18 F19 F20 F21 F22 F23 F24 F25 F26 G7 G8 G9 G10 G11 G12 G13 G14 G15 G16 G17 G18 G19 G20 G21 G22 G23 G24 G25 G26 H7 H8 H9 H10 H11 H12 H13 H14 H15 H16 H17 H18 H19 H20 H21 H22 H23 H24 H25 H26 I7 I8 I9 I10 I11 I12 I13 I14 I15 I16 I17 I18 I19 I20 I21 I22 I23 I24 I25 I26 J7 J8 J9 J10 J11 J12 J13 J14 J15 J16 J17 J18 J19 J20 J21 J22 J23 J24 J25 J26 K7 K8 K9 K10 K11 K12 K13 K14 K15 K16 K17 K18 K19 K20 K21 K22 K23 K24 K25 K26 L7 L8 L9 L10 L11 L12 L13 L14 L15 L16 L17 L18 L19 L20 L21 L22 L23 L24 L25 L26 M7 M8 M9 M10 M11 M12 M13 M14 M15 M16 M17 M18 M19 M20 M21 M22 M23 M24 M25 M26 N7 N8 N9 N10 N11 N12 N13 N14 N15 N16 N17 N18 N19 N20 N21 N22 N23 N24 N25 N26 O7 O8 O9 O10 O11 O12 O13 O14 O15 O16 O17 O18 O19 O20 O21 O22 O23 O24 O25 O26 P7 P8 P9 P10 P11 P12 P13 P14 P15 P16 P17 P18 P19 P20 P21 P22 P23 P24 P25 P26 Q7 Q8 Q9 Q10 Q11 Q12 Q13 Q14 Q15 Q16 Q17 Q18 Q19 Q20 Q21 Q22 Q23 Q24 Q25 Q26 R7 R8 R9 R10 R11 R12 R13 R14 R15 R16 R17 R18 R19 R20 R21 R22 R23 R24 R25 R26 S7 S8 S9 S10 S11 S12 S13 S14 S15 S16 S17 S18 S19 S20 S21 S22 S23 S24 S25 S26 T7 T8 T9 T10 T11 T12 T13 T14 T15 T16 T17 T18 T19 T20 T21 T22 T23 T24 T25 T26 U7 U8 U9 U10 U11 U12 U13 U14 U15 U16 U17 U18 U19 U20 U21 U22 U23 U24 U25 U26 V7 V8 V9 V10 V11 V12 V13 V14 V15 V16 V17 V18 V19 V20 V21 V22 V23 V24 V25 V26 W7 W8 W9 W10 W11 W12 W13 W14 W15 W16 W17 W18 W19 W20 W21 W22 W23 W24 W25 W26 X7 X8 X9 X10 X11 X12 X13 X14 X15 X16 X17 X18 X19 X20 X21 X22 X23 X24 X25 X26 Y7 Y8 Y9 Y10 Y11 Y12 Y13 Y14 Y15 Y16 Y17 Y18 Y19 Y20 Y21 Y22 Y23 Y24 Y25 Y26 Z7 Z8 Z9 Z10 Z11 Z12 Z13 Z14 Z15 Z16 Z17 Z18 Z19 Z20 Z21 Z22 Z23 Z24 Z25 Z26 AA7 AA8 AA9 AA10 AA11 AA12 AA13 AA14 AA15 AA16 AA17 AA18 AA19 AA20 AA21 AA22 AA23 AA24 AA25 AA26 AB7 AB8 AB9 AB10 AB11 AB12 AB13 AB14 AB15 AB16 AB17 AB18 AB19 AB20 AB21 AB22 AB23 AB24 AB25 AB26 AC7 AC8 AC9 AC10 AC11 AC12 AC13 AC14 AC15 AC16 AC17 AC18 AC19 AC20 AC21 AC22 AC23 AC24 AC25 AC26 AD7 AD8 AD9 AD10 AD11 AD12 AD13 AD14 AD15 AD16 AD17 AD18 AD19 AD20 AD21 AD22 AD23 AD24 AD25 AD26 AE7 AE8 AE9 AE10 AE11 AE12 AE13 AE14 AE15 AE16 AE17 AE18 AE19 AE20 AE21 AE22 AE23 AE24 AE25 AE26 AF7 AF8 AF9 AF10 AF11 AF12 AF13 AF14 AF15 AF16 AF17 AF18 AF19 AF20 AF21 AF22 AF23 AF24 AF25 AF26 AG7 AG8 AG9 AG10 AG11 AG12 AG13 AG14 AG15 AG16 AG17 AG18 AG19 AG20 AG21 AG22 AG23 AG24 AG25 AG26 AH7 AH8 AH9 AH10 AH11 AH12 AH13 AH14 AH15 AH16 AH17 AH18 AH19 AH20 AH21 AH22 AH23 AH24 AH25 AH26 AI7 AI8 AI9 AI10 AI11 AI12 AI13 AI14 AI15 AI16 AI17 AI18 AI19 AI20 AI21 AI22 AI23 AI24 AI25 AI26" showDropDown="0" showInputMessage="0" showErrorMessage="0" allowBlank="1" type="list">
      <formula1>"0,1"</formula1>
    </dataValidation>
  </dataValidation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M3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9"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7" customWidth="1" min="36" max="36"/>
    <col width="18" customWidth="1" min="38" max="38"/>
    <col width="12" customWidth="1" min="39" max="39"/>
  </cols>
  <sheetData>
    <row r="1">
      <c r="A1" s="15" t="inlineStr">
        <is>
          <t>May Habit Tracker</t>
        </is>
      </c>
    </row>
    <row r="2">
      <c r="A2" s="10" t="inlineStr">
        <is>
          <t>Year:</t>
        </is>
      </c>
      <c r="B2">
        <f>Setup!$B$3</f>
        <v/>
      </c>
      <c r="C2" s="10" t="inlineStr">
        <is>
          <t>Month:</t>
        </is>
      </c>
      <c r="D2" t="inlineStr">
        <is>
          <t>May</t>
        </is>
      </c>
    </row>
    <row r="3">
      <c r="A3" s="10" t="inlineStr">
        <is>
          <t>Days in month:</t>
        </is>
      </c>
      <c r="B3">
        <f>DAY(EOMONTH(DATE(Setup!$B$3,5,1),0))</f>
        <v/>
      </c>
    </row>
    <row r="5" ht="18" customHeight="1">
      <c r="E5" s="16">
        <f>TEXT(DATE(Setup!$B$3,5,1),"ddd")</f>
        <v/>
      </c>
      <c r="F5" s="16">
        <f>TEXT(DATE(Setup!$B$3,5,2),"ddd")</f>
        <v/>
      </c>
      <c r="G5" s="16">
        <f>TEXT(DATE(Setup!$B$3,5,3),"ddd")</f>
        <v/>
      </c>
      <c r="H5" s="16">
        <f>TEXT(DATE(Setup!$B$3,5,4),"ddd")</f>
        <v/>
      </c>
      <c r="I5" s="16">
        <f>TEXT(DATE(Setup!$B$3,5,5),"ddd")</f>
        <v/>
      </c>
      <c r="J5" s="16">
        <f>TEXT(DATE(Setup!$B$3,5,6),"ddd")</f>
        <v/>
      </c>
      <c r="K5" s="16">
        <f>TEXT(DATE(Setup!$B$3,5,7),"ddd")</f>
        <v/>
      </c>
      <c r="L5" s="16">
        <f>TEXT(DATE(Setup!$B$3,5,8),"ddd")</f>
        <v/>
      </c>
      <c r="M5" s="16">
        <f>TEXT(DATE(Setup!$B$3,5,9),"ddd")</f>
        <v/>
      </c>
      <c r="N5" s="16">
        <f>TEXT(DATE(Setup!$B$3,5,10),"ddd")</f>
        <v/>
      </c>
      <c r="O5" s="16">
        <f>TEXT(DATE(Setup!$B$3,5,11),"ddd")</f>
        <v/>
      </c>
      <c r="P5" s="16">
        <f>TEXT(DATE(Setup!$B$3,5,12),"ddd")</f>
        <v/>
      </c>
      <c r="Q5" s="16">
        <f>TEXT(DATE(Setup!$B$3,5,13),"ddd")</f>
        <v/>
      </c>
      <c r="R5" s="16">
        <f>TEXT(DATE(Setup!$B$3,5,14),"ddd")</f>
        <v/>
      </c>
      <c r="S5" s="16">
        <f>TEXT(DATE(Setup!$B$3,5,15),"ddd")</f>
        <v/>
      </c>
      <c r="T5" s="16">
        <f>TEXT(DATE(Setup!$B$3,5,16),"ddd")</f>
        <v/>
      </c>
      <c r="U5" s="16">
        <f>TEXT(DATE(Setup!$B$3,5,17),"ddd")</f>
        <v/>
      </c>
      <c r="V5" s="16">
        <f>TEXT(DATE(Setup!$B$3,5,18),"ddd")</f>
        <v/>
      </c>
      <c r="W5" s="16">
        <f>TEXT(DATE(Setup!$B$3,5,19),"ddd")</f>
        <v/>
      </c>
      <c r="X5" s="16">
        <f>TEXT(DATE(Setup!$B$3,5,20),"ddd")</f>
        <v/>
      </c>
      <c r="Y5" s="16">
        <f>TEXT(DATE(Setup!$B$3,5,21),"ddd")</f>
        <v/>
      </c>
      <c r="Z5" s="16">
        <f>TEXT(DATE(Setup!$B$3,5,22),"ddd")</f>
        <v/>
      </c>
      <c r="AA5" s="16">
        <f>TEXT(DATE(Setup!$B$3,5,23),"ddd")</f>
        <v/>
      </c>
      <c r="AB5" s="16">
        <f>TEXT(DATE(Setup!$B$3,5,24),"ddd")</f>
        <v/>
      </c>
      <c r="AC5" s="16">
        <f>TEXT(DATE(Setup!$B$3,5,25),"ddd")</f>
        <v/>
      </c>
      <c r="AD5" s="16">
        <f>TEXT(DATE(Setup!$B$3,5,26),"ddd")</f>
        <v/>
      </c>
      <c r="AE5" s="16">
        <f>TEXT(DATE(Setup!$B$3,5,27),"ddd")</f>
        <v/>
      </c>
      <c r="AF5" s="16">
        <f>TEXT(DATE(Setup!$B$3,5,28),"ddd")</f>
        <v/>
      </c>
      <c r="AG5" s="16">
        <f>TEXT(DATE(Setup!$B$3,5,29),"ddd")</f>
        <v/>
      </c>
      <c r="AH5" s="16">
        <f>TEXT(DATE(Setup!$B$3,5,30),"ddd")</f>
        <v/>
      </c>
      <c r="AI5" s="16">
        <f>TEXT(DATE(Setup!$B$3,5,31),"ddd")</f>
        <v/>
      </c>
    </row>
    <row r="6" ht="18" customHeight="1">
      <c r="A6" s="17" t="inlineStr">
        <is>
          <t>Active</t>
        </is>
      </c>
      <c r="B6" s="17" t="inlineStr">
        <is>
          <t>Habit</t>
        </is>
      </c>
      <c r="C6" s="17" t="inlineStr">
        <is>
          <t>Type</t>
        </is>
      </c>
      <c r="D6" s="17" t="inlineStr">
        <is>
          <t>Points</t>
        </is>
      </c>
      <c r="E6" s="18" t="n">
        <v>1</v>
      </c>
      <c r="F6" s="18" t="n">
        <v>2</v>
      </c>
      <c r="G6" s="18" t="n">
        <v>3</v>
      </c>
      <c r="H6" s="18" t="n">
        <v>4</v>
      </c>
      <c r="I6" s="18" t="n">
        <v>5</v>
      </c>
      <c r="J6" s="18" t="n">
        <v>6</v>
      </c>
      <c r="K6" s="18" t="n">
        <v>7</v>
      </c>
      <c r="L6" s="18" t="n">
        <v>8</v>
      </c>
      <c r="M6" s="18" t="n">
        <v>9</v>
      </c>
      <c r="N6" s="18" t="n">
        <v>10</v>
      </c>
      <c r="O6" s="18" t="n">
        <v>11</v>
      </c>
      <c r="P6" s="18" t="n">
        <v>12</v>
      </c>
      <c r="Q6" s="18" t="n">
        <v>13</v>
      </c>
      <c r="R6" s="18" t="n">
        <v>14</v>
      </c>
      <c r="S6" s="18" t="n">
        <v>15</v>
      </c>
      <c r="T6" s="18" t="n">
        <v>16</v>
      </c>
      <c r="U6" s="18" t="n">
        <v>17</v>
      </c>
      <c r="V6" s="18" t="n">
        <v>18</v>
      </c>
      <c r="W6" s="18" t="n">
        <v>19</v>
      </c>
      <c r="X6" s="18" t="n">
        <v>20</v>
      </c>
      <c r="Y6" s="18" t="n">
        <v>21</v>
      </c>
      <c r="Z6" s="18" t="n">
        <v>22</v>
      </c>
      <c r="AA6" s="18" t="n">
        <v>23</v>
      </c>
      <c r="AB6" s="18" t="n">
        <v>24</v>
      </c>
      <c r="AC6" s="18" t="n">
        <v>25</v>
      </c>
      <c r="AD6" s="18" t="n">
        <v>26</v>
      </c>
      <c r="AE6" s="18" t="n">
        <v>27</v>
      </c>
      <c r="AF6" s="18" t="n">
        <v>28</v>
      </c>
      <c r="AG6" s="18" t="n">
        <v>29</v>
      </c>
      <c r="AH6" s="18" t="n">
        <v>30</v>
      </c>
      <c r="AI6" s="18" t="n">
        <v>31</v>
      </c>
      <c r="AJ6" s="17" t="inlineStr">
        <is>
          <t>Total</t>
        </is>
      </c>
    </row>
    <row r="7">
      <c r="A7" s="19">
        <f>Setup!D9</f>
        <v/>
      </c>
      <c r="B7" s="20">
        <f>Setup!A9</f>
        <v/>
      </c>
      <c r="C7" s="19">
        <f>Setup!B9</f>
        <v/>
      </c>
      <c r="D7" s="19">
        <f>Setup!E9</f>
        <v/>
      </c>
      <c r="E7" s="21" t="inlineStr"/>
      <c r="F7" s="21" t="inlineStr"/>
      <c r="G7" s="21" t="inlineStr"/>
      <c r="H7" s="21" t="inlineStr"/>
      <c r="I7" s="21" t="inlineStr"/>
      <c r="J7" s="21" t="inlineStr"/>
      <c r="K7" s="21" t="inlineStr"/>
      <c r="L7" s="21" t="inlineStr"/>
      <c r="M7" s="21" t="inlineStr"/>
      <c r="N7" s="21" t="inlineStr"/>
      <c r="O7" s="21" t="inlineStr"/>
      <c r="P7" s="21" t="inlineStr"/>
      <c r="Q7" s="21" t="inlineStr"/>
      <c r="R7" s="21" t="inlineStr"/>
      <c r="S7" s="21" t="inlineStr"/>
      <c r="T7" s="21" t="inlineStr"/>
      <c r="U7" s="21" t="inlineStr"/>
      <c r="V7" s="21" t="inlineStr"/>
      <c r="W7" s="21" t="inlineStr"/>
      <c r="X7" s="21" t="inlineStr"/>
      <c r="Y7" s="21" t="inlineStr"/>
      <c r="Z7" s="21" t="inlineStr"/>
      <c r="AA7" s="21" t="inlineStr"/>
      <c r="AB7" s="21" t="inlineStr"/>
      <c r="AC7" s="21" t="inlineStr"/>
      <c r="AD7" s="21" t="inlineStr"/>
      <c r="AE7" s="21" t="inlineStr"/>
      <c r="AF7" s="21" t="inlineStr"/>
      <c r="AG7" s="21" t="inlineStr"/>
      <c r="AH7" s="21" t="inlineStr"/>
      <c r="AI7" s="21" t="inlineStr"/>
      <c r="AJ7" s="22">
        <f>IF($A7=1,SUMPRODUCT(($E$6:$AI$6&lt;=$B$3)*(E7:AI7)),"")</f>
        <v/>
      </c>
    </row>
    <row r="8">
      <c r="A8" s="19">
        <f>Setup!D10</f>
        <v/>
      </c>
      <c r="B8" s="20">
        <f>Setup!A10</f>
        <v/>
      </c>
      <c r="C8" s="19">
        <f>Setup!B10</f>
        <v/>
      </c>
      <c r="D8" s="19">
        <f>Setup!E10</f>
        <v/>
      </c>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2">
        <f>IF($A8=1,SUMPRODUCT(($E$6:$AI$6&lt;=$B$3)*(E8:AI8)),"")</f>
        <v/>
      </c>
    </row>
    <row r="9">
      <c r="A9" s="19">
        <f>Setup!D11</f>
        <v/>
      </c>
      <c r="B9" s="20">
        <f>Setup!A11</f>
        <v/>
      </c>
      <c r="C9" s="19">
        <f>Setup!B11</f>
        <v/>
      </c>
      <c r="D9" s="19">
        <f>Setup!E11</f>
        <v/>
      </c>
      <c r="E9" s="21" t="inlineStr"/>
      <c r="F9" s="21" t="inlineStr"/>
      <c r="G9" s="21" t="inlineStr"/>
      <c r="H9" s="21" t="inlineStr"/>
      <c r="I9" s="21" t="inlineStr"/>
      <c r="J9" s="21" t="inlineStr"/>
      <c r="K9" s="21" t="inlineStr"/>
      <c r="L9" s="21" t="inlineStr"/>
      <c r="M9" s="21" t="inlineStr"/>
      <c r="N9" s="21" t="inlineStr"/>
      <c r="O9" s="21" t="inlineStr"/>
      <c r="P9" s="21" t="inlineStr"/>
      <c r="Q9" s="21" t="inlineStr"/>
      <c r="R9" s="21" t="inlineStr"/>
      <c r="S9" s="21" t="inlineStr"/>
      <c r="T9" s="21" t="inlineStr"/>
      <c r="U9" s="21" t="inlineStr"/>
      <c r="V9" s="21" t="inlineStr"/>
      <c r="W9" s="21" t="inlineStr"/>
      <c r="X9" s="21" t="inlineStr"/>
      <c r="Y9" s="21" t="inlineStr"/>
      <c r="Z9" s="21" t="inlineStr"/>
      <c r="AA9" s="21" t="inlineStr"/>
      <c r="AB9" s="21" t="inlineStr"/>
      <c r="AC9" s="21" t="inlineStr"/>
      <c r="AD9" s="21" t="inlineStr"/>
      <c r="AE9" s="21" t="inlineStr"/>
      <c r="AF9" s="21" t="inlineStr"/>
      <c r="AG9" s="21" t="inlineStr"/>
      <c r="AH9" s="21" t="inlineStr"/>
      <c r="AI9" s="21" t="inlineStr"/>
      <c r="AJ9" s="22">
        <f>IF($A9=1,SUMPRODUCT(($E$6:$AI$6&lt;=$B$3)*(E9:AI9)),"")</f>
        <v/>
      </c>
    </row>
    <row r="10">
      <c r="A10" s="19">
        <f>Setup!D12</f>
        <v/>
      </c>
      <c r="B10" s="20">
        <f>Setup!A12</f>
        <v/>
      </c>
      <c r="C10" s="19">
        <f>Setup!B12</f>
        <v/>
      </c>
      <c r="D10" s="19">
        <f>Setup!E12</f>
        <v/>
      </c>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2">
        <f>IF($A10=1,SUMPRODUCT(($E$6:$AI$6&lt;=$B$3)*(E10:AI10)),"")</f>
        <v/>
      </c>
    </row>
    <row r="11">
      <c r="A11" s="19">
        <f>Setup!D13</f>
        <v/>
      </c>
      <c r="B11" s="20">
        <f>Setup!A13</f>
        <v/>
      </c>
      <c r="C11" s="19">
        <f>Setup!B13</f>
        <v/>
      </c>
      <c r="D11" s="19">
        <f>Setup!E13</f>
        <v/>
      </c>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c r="R11" s="21" t="inlineStr"/>
      <c r="S11" s="21" t="inlineStr"/>
      <c r="T11" s="21" t="inlineStr"/>
      <c r="U11" s="21" t="inlineStr"/>
      <c r="V11" s="21" t="inlineStr"/>
      <c r="W11" s="21" t="inlineStr"/>
      <c r="X11" s="21" t="inlineStr"/>
      <c r="Y11" s="21" t="inlineStr"/>
      <c r="Z11" s="21" t="inlineStr"/>
      <c r="AA11" s="21" t="inlineStr"/>
      <c r="AB11" s="21" t="inlineStr"/>
      <c r="AC11" s="21" t="inlineStr"/>
      <c r="AD11" s="21" t="inlineStr"/>
      <c r="AE11" s="21" t="inlineStr"/>
      <c r="AF11" s="21" t="inlineStr"/>
      <c r="AG11" s="21" t="inlineStr"/>
      <c r="AH11" s="21" t="inlineStr"/>
      <c r="AI11" s="21" t="inlineStr"/>
      <c r="AJ11" s="22">
        <f>IF($A11=1,SUMPRODUCT(($E$6:$AI$6&lt;=$B$3)*(E11:AI11)),"")</f>
        <v/>
      </c>
    </row>
    <row r="12">
      <c r="A12" s="19">
        <f>Setup!D14</f>
        <v/>
      </c>
      <c r="B12" s="20">
        <f>Setup!A14</f>
        <v/>
      </c>
      <c r="C12" s="19">
        <f>Setup!B14</f>
        <v/>
      </c>
      <c r="D12" s="19">
        <f>Setup!E14</f>
        <v/>
      </c>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2">
        <f>IF($A12=1,SUMPRODUCT(($E$6:$AI$6&lt;=$B$3)*(E12:AI12)),"")</f>
        <v/>
      </c>
    </row>
    <row r="13">
      <c r="A13" s="19">
        <f>Setup!D15</f>
        <v/>
      </c>
      <c r="B13" s="20">
        <f>Setup!A15</f>
        <v/>
      </c>
      <c r="C13" s="19">
        <f>Setup!B15</f>
        <v/>
      </c>
      <c r="D13" s="19">
        <f>Setup!E15</f>
        <v/>
      </c>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c r="U13" s="21" t="inlineStr"/>
      <c r="V13" s="21" t="inlineStr"/>
      <c r="W13" s="21" t="inlineStr"/>
      <c r="X13" s="21" t="inlineStr"/>
      <c r="Y13" s="21" t="inlineStr"/>
      <c r="Z13" s="21" t="inlineStr"/>
      <c r="AA13" s="21" t="inlineStr"/>
      <c r="AB13" s="21" t="inlineStr"/>
      <c r="AC13" s="21" t="inlineStr"/>
      <c r="AD13" s="21" t="inlineStr"/>
      <c r="AE13" s="21" t="inlineStr"/>
      <c r="AF13" s="21" t="inlineStr"/>
      <c r="AG13" s="21" t="inlineStr"/>
      <c r="AH13" s="21" t="inlineStr"/>
      <c r="AI13" s="21" t="inlineStr"/>
      <c r="AJ13" s="22">
        <f>IF($A13=1,SUMPRODUCT(($E$6:$AI$6&lt;=$B$3)*(E13:AI13)),"")</f>
        <v/>
      </c>
    </row>
    <row r="14">
      <c r="A14" s="19">
        <f>Setup!D16</f>
        <v/>
      </c>
      <c r="B14" s="20">
        <f>Setup!A16</f>
        <v/>
      </c>
      <c r="C14" s="19">
        <f>Setup!B16</f>
        <v/>
      </c>
      <c r="D14" s="19">
        <f>Setup!E16</f>
        <v/>
      </c>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2">
        <f>IF($A14=1,SUMPRODUCT(($E$6:$AI$6&lt;=$B$3)*(E14:AI14)),"")</f>
        <v/>
      </c>
    </row>
    <row r="15">
      <c r="A15" s="19">
        <f>Setup!D17</f>
        <v/>
      </c>
      <c r="B15" s="20">
        <f>Setup!A17</f>
        <v/>
      </c>
      <c r="C15" s="19">
        <f>Setup!B17</f>
        <v/>
      </c>
      <c r="D15" s="19">
        <f>Setup!E17</f>
        <v/>
      </c>
      <c r="E15" s="21" t="inlineStr"/>
      <c r="F15" s="21" t="inlineStr"/>
      <c r="G15" s="21" t="inlineStr"/>
      <c r="H15" s="21" t="inlineStr"/>
      <c r="I15" s="21" t="inlineStr"/>
      <c r="J15" s="21" t="inlineStr"/>
      <c r="K15" s="21" t="inlineStr"/>
      <c r="L15" s="21" t="inlineStr"/>
      <c r="M15" s="21" t="inlineStr"/>
      <c r="N15" s="21" t="inlineStr"/>
      <c r="O15" s="21" t="inlineStr"/>
      <c r="P15" s="21" t="inlineStr"/>
      <c r="Q15" s="21" t="inlineStr"/>
      <c r="R15" s="21" t="inlineStr"/>
      <c r="S15" s="21" t="inlineStr"/>
      <c r="T15" s="21" t="inlineStr"/>
      <c r="U15" s="21" t="inlineStr"/>
      <c r="V15" s="21" t="inlineStr"/>
      <c r="W15" s="21" t="inlineStr"/>
      <c r="X15" s="21" t="inlineStr"/>
      <c r="Y15" s="21" t="inlineStr"/>
      <c r="Z15" s="21" t="inlineStr"/>
      <c r="AA15" s="21" t="inlineStr"/>
      <c r="AB15" s="21" t="inlineStr"/>
      <c r="AC15" s="21" t="inlineStr"/>
      <c r="AD15" s="21" t="inlineStr"/>
      <c r="AE15" s="21" t="inlineStr"/>
      <c r="AF15" s="21" t="inlineStr"/>
      <c r="AG15" s="21" t="inlineStr"/>
      <c r="AH15" s="21" t="inlineStr"/>
      <c r="AI15" s="21" t="inlineStr"/>
      <c r="AJ15" s="22">
        <f>IF($A15=1,SUMPRODUCT(($E$6:$AI$6&lt;=$B$3)*(E15:AI15)),"")</f>
        <v/>
      </c>
    </row>
    <row r="16">
      <c r="A16" s="19">
        <f>Setup!D18</f>
        <v/>
      </c>
      <c r="B16" s="20">
        <f>Setup!A18</f>
        <v/>
      </c>
      <c r="C16" s="19">
        <f>Setup!B18</f>
        <v/>
      </c>
      <c r="D16" s="19">
        <f>Setup!E18</f>
        <v/>
      </c>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2">
        <f>IF($A16=1,SUMPRODUCT(($E$6:$AI$6&lt;=$B$3)*(E16:AI16)),"")</f>
        <v/>
      </c>
    </row>
    <row r="17">
      <c r="A17" s="19">
        <f>Setup!D19</f>
        <v/>
      </c>
      <c r="B17" s="20">
        <f>Setup!A19</f>
        <v/>
      </c>
      <c r="C17" s="19">
        <f>Setup!B19</f>
        <v/>
      </c>
      <c r="D17" s="19">
        <f>Setup!E19</f>
        <v/>
      </c>
      <c r="E17" s="21" t="inlineStr"/>
      <c r="F17" s="21" t="inlineStr"/>
      <c r="G17" s="21" t="inlineStr"/>
      <c r="H17" s="21" t="inlineStr"/>
      <c r="I17" s="21" t="inlineStr"/>
      <c r="J17" s="21" t="inlineStr"/>
      <c r="K17" s="21" t="inlineStr"/>
      <c r="L17" s="21" t="inlineStr"/>
      <c r="M17" s="21" t="inlineStr"/>
      <c r="N17" s="21" t="inlineStr"/>
      <c r="O17" s="21" t="inlineStr"/>
      <c r="P17" s="21" t="inlineStr"/>
      <c r="Q17" s="21" t="inlineStr"/>
      <c r="R17" s="21" t="inlineStr"/>
      <c r="S17" s="21" t="inlineStr"/>
      <c r="T17" s="21" t="inlineStr"/>
      <c r="U17" s="21" t="inlineStr"/>
      <c r="V17" s="21" t="inlineStr"/>
      <c r="W17" s="21" t="inlineStr"/>
      <c r="X17" s="21" t="inlineStr"/>
      <c r="Y17" s="21" t="inlineStr"/>
      <c r="Z17" s="21" t="inlineStr"/>
      <c r="AA17" s="21" t="inlineStr"/>
      <c r="AB17" s="21" t="inlineStr"/>
      <c r="AC17" s="21" t="inlineStr"/>
      <c r="AD17" s="21" t="inlineStr"/>
      <c r="AE17" s="21" t="inlineStr"/>
      <c r="AF17" s="21" t="inlineStr"/>
      <c r="AG17" s="21" t="inlineStr"/>
      <c r="AH17" s="21" t="inlineStr"/>
      <c r="AI17" s="21" t="inlineStr"/>
      <c r="AJ17" s="22">
        <f>IF($A17=1,SUMPRODUCT(($E$6:$AI$6&lt;=$B$3)*(E17:AI17)),"")</f>
        <v/>
      </c>
    </row>
    <row r="18">
      <c r="A18" s="19">
        <f>Setup!D20</f>
        <v/>
      </c>
      <c r="B18" s="20">
        <f>Setup!A20</f>
        <v/>
      </c>
      <c r="C18" s="19">
        <f>Setup!B20</f>
        <v/>
      </c>
      <c r="D18" s="19">
        <f>Setup!E20</f>
        <v/>
      </c>
      <c r="E18" s="21" t="inlineStr"/>
      <c r="F18" s="21" t="inlineStr"/>
      <c r="G18" s="21" t="inlineStr"/>
      <c r="H18" s="21" t="inlineStr"/>
      <c r="I18" s="21" t="inlineStr"/>
      <c r="J18" s="21" t="inlineStr"/>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2">
        <f>IF($A18=1,SUMPRODUCT(($E$6:$AI$6&lt;=$B$3)*(E18:AI18)),"")</f>
        <v/>
      </c>
    </row>
    <row r="19">
      <c r="A19" s="19">
        <f>Setup!D21</f>
        <v/>
      </c>
      <c r="B19" s="20">
        <f>Setup!A21</f>
        <v/>
      </c>
      <c r="C19" s="19">
        <f>Setup!B21</f>
        <v/>
      </c>
      <c r="D19" s="19">
        <f>Setup!E21</f>
        <v/>
      </c>
      <c r="E19" s="21" t="inlineStr"/>
      <c r="F19" s="21" t="inlineStr"/>
      <c r="G19" s="21" t="inlineStr"/>
      <c r="H19" s="21" t="inlineStr"/>
      <c r="I19" s="21" t="inlineStr"/>
      <c r="J19" s="21" t="inlineStr"/>
      <c r="K19" s="21" t="inlineStr"/>
      <c r="L19" s="21" t="inlineStr"/>
      <c r="M19" s="21" t="inlineStr"/>
      <c r="N19" s="21" t="inlineStr"/>
      <c r="O19" s="21" t="inlineStr"/>
      <c r="P19" s="21" t="inlineStr"/>
      <c r="Q19" s="21" t="inlineStr"/>
      <c r="R19" s="21" t="inlineStr"/>
      <c r="S19" s="21" t="inlineStr"/>
      <c r="T19" s="21" t="inlineStr"/>
      <c r="U19" s="21" t="inlineStr"/>
      <c r="V19" s="21" t="inlineStr"/>
      <c r="W19" s="21" t="inlineStr"/>
      <c r="X19" s="21" t="inlineStr"/>
      <c r="Y19" s="21" t="inlineStr"/>
      <c r="Z19" s="21" t="inlineStr"/>
      <c r="AA19" s="21" t="inlineStr"/>
      <c r="AB19" s="21" t="inlineStr"/>
      <c r="AC19" s="21" t="inlineStr"/>
      <c r="AD19" s="21" t="inlineStr"/>
      <c r="AE19" s="21" t="inlineStr"/>
      <c r="AF19" s="21" t="inlineStr"/>
      <c r="AG19" s="21" t="inlineStr"/>
      <c r="AH19" s="21" t="inlineStr"/>
      <c r="AI19" s="21" t="inlineStr"/>
      <c r="AJ19" s="22">
        <f>IF($A19=1,SUMPRODUCT(($E$6:$AI$6&lt;=$B$3)*(E19:AI19)),"")</f>
        <v/>
      </c>
    </row>
    <row r="20">
      <c r="A20" s="19">
        <f>Setup!D22</f>
        <v/>
      </c>
      <c r="B20" s="20">
        <f>Setup!A22</f>
        <v/>
      </c>
      <c r="C20" s="19">
        <f>Setup!B22</f>
        <v/>
      </c>
      <c r="D20" s="19">
        <f>Setup!E22</f>
        <v/>
      </c>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2">
        <f>IF($A20=1,SUMPRODUCT(($E$6:$AI$6&lt;=$B$3)*(E20:AI20)),"")</f>
        <v/>
      </c>
    </row>
    <row r="21">
      <c r="A21" s="19">
        <f>Setup!D23</f>
        <v/>
      </c>
      <c r="B21" s="20">
        <f>Setup!A23</f>
        <v/>
      </c>
      <c r="C21" s="19">
        <f>Setup!B23</f>
        <v/>
      </c>
      <c r="D21" s="19">
        <f>Setup!E23</f>
        <v/>
      </c>
      <c r="E21" s="21" t="inlineStr"/>
      <c r="F21" s="21" t="inlineStr"/>
      <c r="G21" s="21" t="inlineStr"/>
      <c r="H21" s="21" t="inlineStr"/>
      <c r="I21" s="21" t="inlineStr"/>
      <c r="J21" s="21" t="inlineStr"/>
      <c r="K21" s="21" t="inlineStr"/>
      <c r="L21" s="21" t="inlineStr"/>
      <c r="M21" s="21" t="inlineStr"/>
      <c r="N21" s="21" t="inlineStr"/>
      <c r="O21" s="21" t="inlineStr"/>
      <c r="P21" s="21" t="inlineStr"/>
      <c r="Q21" s="21" t="inlineStr"/>
      <c r="R21" s="21" t="inlineStr"/>
      <c r="S21" s="21" t="inlineStr"/>
      <c r="T21" s="21" t="inlineStr"/>
      <c r="U21" s="21" t="inlineStr"/>
      <c r="V21" s="21" t="inlineStr"/>
      <c r="W21" s="21" t="inlineStr"/>
      <c r="X21" s="21" t="inlineStr"/>
      <c r="Y21" s="21" t="inlineStr"/>
      <c r="Z21" s="21" t="inlineStr"/>
      <c r="AA21" s="21" t="inlineStr"/>
      <c r="AB21" s="21" t="inlineStr"/>
      <c r="AC21" s="21" t="inlineStr"/>
      <c r="AD21" s="21" t="inlineStr"/>
      <c r="AE21" s="21" t="inlineStr"/>
      <c r="AF21" s="21" t="inlineStr"/>
      <c r="AG21" s="21" t="inlineStr"/>
      <c r="AH21" s="21" t="inlineStr"/>
      <c r="AI21" s="21" t="inlineStr"/>
      <c r="AJ21" s="22">
        <f>IF($A21=1,SUMPRODUCT(($E$6:$AI$6&lt;=$B$3)*(E21:AI21)),"")</f>
        <v/>
      </c>
    </row>
    <row r="22">
      <c r="A22" s="19">
        <f>Setup!D24</f>
        <v/>
      </c>
      <c r="B22" s="20">
        <f>Setup!A24</f>
        <v/>
      </c>
      <c r="C22" s="19">
        <f>Setup!B24</f>
        <v/>
      </c>
      <c r="D22" s="19">
        <f>Setup!E24</f>
        <v/>
      </c>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c r="Y22" s="21" t="inlineStr"/>
      <c r="Z22" s="21" t="inlineStr"/>
      <c r="AA22" s="21" t="inlineStr"/>
      <c r="AB22" s="21" t="inlineStr"/>
      <c r="AC22" s="21" t="inlineStr"/>
      <c r="AD22" s="21" t="inlineStr"/>
      <c r="AE22" s="21" t="inlineStr"/>
      <c r="AF22" s="21" t="inlineStr"/>
      <c r="AG22" s="21" t="inlineStr"/>
      <c r="AH22" s="21" t="inlineStr"/>
      <c r="AI22" s="21" t="inlineStr"/>
      <c r="AJ22" s="22">
        <f>IF($A22=1,SUMPRODUCT(($E$6:$AI$6&lt;=$B$3)*(E22:AI22)),"")</f>
        <v/>
      </c>
    </row>
    <row r="23">
      <c r="A23" s="19">
        <f>Setup!D25</f>
        <v/>
      </c>
      <c r="B23" s="20">
        <f>Setup!A25</f>
        <v/>
      </c>
      <c r="C23" s="19">
        <f>Setup!B25</f>
        <v/>
      </c>
      <c r="D23" s="19">
        <f>Setup!E25</f>
        <v/>
      </c>
      <c r="E23" s="21" t="inlineStr"/>
      <c r="F23" s="21" t="inlineStr"/>
      <c r="G23" s="21" t="inlineStr"/>
      <c r="H23" s="21" t="inlineStr"/>
      <c r="I23" s="21" t="inlineStr"/>
      <c r="J23" s="21" t="inlineStr"/>
      <c r="K23" s="21" t="inlineStr"/>
      <c r="L23" s="21" t="inlineStr"/>
      <c r="M23" s="21" t="inlineStr"/>
      <c r="N23" s="21" t="inlineStr"/>
      <c r="O23" s="21" t="inlineStr"/>
      <c r="P23" s="21" t="inlineStr"/>
      <c r="Q23" s="21" t="inlineStr"/>
      <c r="R23" s="21" t="inlineStr"/>
      <c r="S23" s="21" t="inlineStr"/>
      <c r="T23" s="21" t="inlineStr"/>
      <c r="U23" s="21" t="inlineStr"/>
      <c r="V23" s="21" t="inlineStr"/>
      <c r="W23" s="21" t="inlineStr"/>
      <c r="X23" s="21" t="inlineStr"/>
      <c r="Y23" s="21" t="inlineStr"/>
      <c r="Z23" s="21" t="inlineStr"/>
      <c r="AA23" s="21" t="inlineStr"/>
      <c r="AB23" s="21" t="inlineStr"/>
      <c r="AC23" s="21" t="inlineStr"/>
      <c r="AD23" s="21" t="inlineStr"/>
      <c r="AE23" s="21" t="inlineStr"/>
      <c r="AF23" s="21" t="inlineStr"/>
      <c r="AG23" s="21" t="inlineStr"/>
      <c r="AH23" s="21" t="inlineStr"/>
      <c r="AI23" s="21" t="inlineStr"/>
      <c r="AJ23" s="22">
        <f>IF($A23=1,SUMPRODUCT(($E$6:$AI$6&lt;=$B$3)*(E23:AI23)),"")</f>
        <v/>
      </c>
    </row>
    <row r="24">
      <c r="A24" s="19">
        <f>Setup!D26</f>
        <v/>
      </c>
      <c r="B24" s="20">
        <f>Setup!A26</f>
        <v/>
      </c>
      <c r="C24" s="19">
        <f>Setup!B26</f>
        <v/>
      </c>
      <c r="D24" s="19">
        <f>Setup!E26</f>
        <v/>
      </c>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c r="Y24" s="21" t="inlineStr"/>
      <c r="Z24" s="21" t="inlineStr"/>
      <c r="AA24" s="21" t="inlineStr"/>
      <c r="AB24" s="21" t="inlineStr"/>
      <c r="AC24" s="21" t="inlineStr"/>
      <c r="AD24" s="21" t="inlineStr"/>
      <c r="AE24" s="21" t="inlineStr"/>
      <c r="AF24" s="21" t="inlineStr"/>
      <c r="AG24" s="21" t="inlineStr"/>
      <c r="AH24" s="21" t="inlineStr"/>
      <c r="AI24" s="21" t="inlineStr"/>
      <c r="AJ24" s="22">
        <f>IF($A24=1,SUMPRODUCT(($E$6:$AI$6&lt;=$B$3)*(E24:AI24)),"")</f>
        <v/>
      </c>
    </row>
    <row r="25">
      <c r="A25" s="19">
        <f>Setup!D27</f>
        <v/>
      </c>
      <c r="B25" s="20">
        <f>Setup!A27</f>
        <v/>
      </c>
      <c r="C25" s="19">
        <f>Setup!B27</f>
        <v/>
      </c>
      <c r="D25" s="19">
        <f>Setup!E27</f>
        <v/>
      </c>
      <c r="E25" s="21" t="inlineStr"/>
      <c r="F25" s="21" t="inlineStr"/>
      <c r="G25" s="21" t="inlineStr"/>
      <c r="H25" s="21" t="inlineStr"/>
      <c r="I25" s="21" t="inlineStr"/>
      <c r="J25" s="21" t="inlineStr"/>
      <c r="K25" s="21" t="inlineStr"/>
      <c r="L25" s="21" t="inlineStr"/>
      <c r="M25" s="21" t="inlineStr"/>
      <c r="N25" s="21" t="inlineStr"/>
      <c r="O25" s="21" t="inlineStr"/>
      <c r="P25" s="21" t="inlineStr"/>
      <c r="Q25" s="21" t="inlineStr"/>
      <c r="R25" s="21" t="inlineStr"/>
      <c r="S25" s="21" t="inlineStr"/>
      <c r="T25" s="21" t="inlineStr"/>
      <c r="U25" s="21" t="inlineStr"/>
      <c r="V25" s="21" t="inlineStr"/>
      <c r="W25" s="21" t="inlineStr"/>
      <c r="X25" s="21" t="inlineStr"/>
      <c r="Y25" s="21" t="inlineStr"/>
      <c r="Z25" s="21" t="inlineStr"/>
      <c r="AA25" s="21" t="inlineStr"/>
      <c r="AB25" s="21" t="inlineStr"/>
      <c r="AC25" s="21" t="inlineStr"/>
      <c r="AD25" s="21" t="inlineStr"/>
      <c r="AE25" s="21" t="inlineStr"/>
      <c r="AF25" s="21" t="inlineStr"/>
      <c r="AG25" s="21" t="inlineStr"/>
      <c r="AH25" s="21" t="inlineStr"/>
      <c r="AI25" s="21" t="inlineStr"/>
      <c r="AJ25" s="22">
        <f>IF($A25=1,SUMPRODUCT(($E$6:$AI$6&lt;=$B$3)*(E25:AI25)),"")</f>
        <v/>
      </c>
    </row>
    <row r="26">
      <c r="A26" s="19">
        <f>Setup!D28</f>
        <v/>
      </c>
      <c r="B26" s="20">
        <f>Setup!A28</f>
        <v/>
      </c>
      <c r="C26" s="19">
        <f>Setup!B28</f>
        <v/>
      </c>
      <c r="D26" s="19">
        <f>Setup!E28</f>
        <v/>
      </c>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2">
        <f>IF($A26=1,SUMPRODUCT(($E$6:$AI$6&lt;=$B$3)*(E26:AI26)),"")</f>
        <v/>
      </c>
    </row>
    <row r="29">
      <c r="A29" s="23" t="inlineStr">
        <is>
          <t>Daily summary</t>
        </is>
      </c>
    </row>
    <row r="30">
      <c r="A30" s="8" t="inlineStr">
        <is>
          <t>Good habits done</t>
        </is>
      </c>
      <c r="E30" s="19">
        <f>SUMPRODUCT(($A$7:$A$26=1)*($C$7:$C$26="Good")*(E7:E26))</f>
        <v/>
      </c>
      <c r="F30" s="19">
        <f>SUMPRODUCT(($A$7:$A$26=1)*($C$7:$C$26="Good")*(F7:F26))</f>
        <v/>
      </c>
      <c r="G30" s="19">
        <f>SUMPRODUCT(($A$7:$A$26=1)*($C$7:$C$26="Good")*(G7:G26))</f>
        <v/>
      </c>
      <c r="H30" s="19">
        <f>SUMPRODUCT(($A$7:$A$26=1)*($C$7:$C$26="Good")*(H7:H26))</f>
        <v/>
      </c>
      <c r="I30" s="19">
        <f>SUMPRODUCT(($A$7:$A$26=1)*($C$7:$C$26="Good")*(I7:I26))</f>
        <v/>
      </c>
      <c r="J30" s="19">
        <f>SUMPRODUCT(($A$7:$A$26=1)*($C$7:$C$26="Good")*(J7:J26))</f>
        <v/>
      </c>
      <c r="K30" s="19">
        <f>SUMPRODUCT(($A$7:$A$26=1)*($C$7:$C$26="Good")*(K7:K26))</f>
        <v/>
      </c>
      <c r="L30" s="19">
        <f>SUMPRODUCT(($A$7:$A$26=1)*($C$7:$C$26="Good")*(L7:L26))</f>
        <v/>
      </c>
      <c r="M30" s="19">
        <f>SUMPRODUCT(($A$7:$A$26=1)*($C$7:$C$26="Good")*(M7:M26))</f>
        <v/>
      </c>
      <c r="N30" s="19">
        <f>SUMPRODUCT(($A$7:$A$26=1)*($C$7:$C$26="Good")*(N7:N26))</f>
        <v/>
      </c>
      <c r="O30" s="19">
        <f>SUMPRODUCT(($A$7:$A$26=1)*($C$7:$C$26="Good")*(O7:O26))</f>
        <v/>
      </c>
      <c r="P30" s="19">
        <f>SUMPRODUCT(($A$7:$A$26=1)*($C$7:$C$26="Good")*(P7:P26))</f>
        <v/>
      </c>
      <c r="Q30" s="19">
        <f>SUMPRODUCT(($A$7:$A$26=1)*($C$7:$C$26="Good")*(Q7:Q26))</f>
        <v/>
      </c>
      <c r="R30" s="19">
        <f>SUMPRODUCT(($A$7:$A$26=1)*($C$7:$C$26="Good")*(R7:R26))</f>
        <v/>
      </c>
      <c r="S30" s="19">
        <f>SUMPRODUCT(($A$7:$A$26=1)*($C$7:$C$26="Good")*(S7:S26))</f>
        <v/>
      </c>
      <c r="T30" s="19">
        <f>SUMPRODUCT(($A$7:$A$26=1)*($C$7:$C$26="Good")*(T7:T26))</f>
        <v/>
      </c>
      <c r="U30" s="19">
        <f>SUMPRODUCT(($A$7:$A$26=1)*($C$7:$C$26="Good")*(U7:U26))</f>
        <v/>
      </c>
      <c r="V30" s="19">
        <f>SUMPRODUCT(($A$7:$A$26=1)*($C$7:$C$26="Good")*(V7:V26))</f>
        <v/>
      </c>
      <c r="W30" s="19">
        <f>SUMPRODUCT(($A$7:$A$26=1)*($C$7:$C$26="Good")*(W7:W26))</f>
        <v/>
      </c>
      <c r="X30" s="19">
        <f>SUMPRODUCT(($A$7:$A$26=1)*($C$7:$C$26="Good")*(X7:X26))</f>
        <v/>
      </c>
      <c r="Y30" s="19">
        <f>SUMPRODUCT(($A$7:$A$26=1)*($C$7:$C$26="Good")*(Y7:Y26))</f>
        <v/>
      </c>
      <c r="Z30" s="19">
        <f>SUMPRODUCT(($A$7:$A$26=1)*($C$7:$C$26="Good")*(Z7:Z26))</f>
        <v/>
      </c>
      <c r="AA30" s="19">
        <f>SUMPRODUCT(($A$7:$A$26=1)*($C$7:$C$26="Good")*(AA7:AA26))</f>
        <v/>
      </c>
      <c r="AB30" s="19">
        <f>SUMPRODUCT(($A$7:$A$26=1)*($C$7:$C$26="Good")*(AB7:AB26))</f>
        <v/>
      </c>
      <c r="AC30" s="19">
        <f>SUMPRODUCT(($A$7:$A$26=1)*($C$7:$C$26="Good")*(AC7:AC26))</f>
        <v/>
      </c>
      <c r="AD30" s="19">
        <f>SUMPRODUCT(($A$7:$A$26=1)*($C$7:$C$26="Good")*(AD7:AD26))</f>
        <v/>
      </c>
      <c r="AE30" s="19">
        <f>SUMPRODUCT(($A$7:$A$26=1)*($C$7:$C$26="Good")*(AE7:AE26))</f>
        <v/>
      </c>
      <c r="AF30" s="19">
        <f>SUMPRODUCT(($A$7:$A$26=1)*($C$7:$C$26="Good")*(AF7:AF26))</f>
        <v/>
      </c>
      <c r="AG30" s="19">
        <f>SUMPRODUCT(($A$7:$A$26=1)*($C$7:$C$26="Good")*(AG7:AG26))</f>
        <v/>
      </c>
      <c r="AH30" s="19">
        <f>SUMPRODUCT(($A$7:$A$26=1)*($C$7:$C$26="Good")*(AH7:AH26))</f>
        <v/>
      </c>
      <c r="AI30" s="19">
        <f>SUMPRODUCT(($A$7:$A$26=1)*($C$7:$C$26="Good")*(AI7:AI26))</f>
        <v/>
      </c>
      <c r="AL30" s="24" t="inlineStr">
        <is>
          <t>Monthly totals</t>
        </is>
      </c>
    </row>
    <row r="31">
      <c r="A31" s="8" t="inlineStr">
        <is>
          <t>Bad habits happened</t>
        </is>
      </c>
      <c r="E31" s="19">
        <f>SUMPRODUCT(($A$7:$A$26=1)*($C$7:$C$26="Bad")*(E7:E26))</f>
        <v/>
      </c>
      <c r="F31" s="19">
        <f>SUMPRODUCT(($A$7:$A$26=1)*($C$7:$C$26="Bad")*(F7:F26))</f>
        <v/>
      </c>
      <c r="G31" s="19">
        <f>SUMPRODUCT(($A$7:$A$26=1)*($C$7:$C$26="Bad")*(G7:G26))</f>
        <v/>
      </c>
      <c r="H31" s="19">
        <f>SUMPRODUCT(($A$7:$A$26=1)*($C$7:$C$26="Bad")*(H7:H26))</f>
        <v/>
      </c>
      <c r="I31" s="19">
        <f>SUMPRODUCT(($A$7:$A$26=1)*($C$7:$C$26="Bad")*(I7:I26))</f>
        <v/>
      </c>
      <c r="J31" s="19">
        <f>SUMPRODUCT(($A$7:$A$26=1)*($C$7:$C$26="Bad")*(J7:J26))</f>
        <v/>
      </c>
      <c r="K31" s="19">
        <f>SUMPRODUCT(($A$7:$A$26=1)*($C$7:$C$26="Bad")*(K7:K26))</f>
        <v/>
      </c>
      <c r="L31" s="19">
        <f>SUMPRODUCT(($A$7:$A$26=1)*($C$7:$C$26="Bad")*(L7:L26))</f>
        <v/>
      </c>
      <c r="M31" s="19">
        <f>SUMPRODUCT(($A$7:$A$26=1)*($C$7:$C$26="Bad")*(M7:M26))</f>
        <v/>
      </c>
      <c r="N31" s="19">
        <f>SUMPRODUCT(($A$7:$A$26=1)*($C$7:$C$26="Bad")*(N7:N26))</f>
        <v/>
      </c>
      <c r="O31" s="19">
        <f>SUMPRODUCT(($A$7:$A$26=1)*($C$7:$C$26="Bad")*(O7:O26))</f>
        <v/>
      </c>
      <c r="P31" s="19">
        <f>SUMPRODUCT(($A$7:$A$26=1)*($C$7:$C$26="Bad")*(P7:P26))</f>
        <v/>
      </c>
      <c r="Q31" s="19">
        <f>SUMPRODUCT(($A$7:$A$26=1)*($C$7:$C$26="Bad")*(Q7:Q26))</f>
        <v/>
      </c>
      <c r="R31" s="19">
        <f>SUMPRODUCT(($A$7:$A$26=1)*($C$7:$C$26="Bad")*(R7:R26))</f>
        <v/>
      </c>
      <c r="S31" s="19">
        <f>SUMPRODUCT(($A$7:$A$26=1)*($C$7:$C$26="Bad")*(S7:S26))</f>
        <v/>
      </c>
      <c r="T31" s="19">
        <f>SUMPRODUCT(($A$7:$A$26=1)*($C$7:$C$26="Bad")*(T7:T26))</f>
        <v/>
      </c>
      <c r="U31" s="19">
        <f>SUMPRODUCT(($A$7:$A$26=1)*($C$7:$C$26="Bad")*(U7:U26))</f>
        <v/>
      </c>
      <c r="V31" s="19">
        <f>SUMPRODUCT(($A$7:$A$26=1)*($C$7:$C$26="Bad")*(V7:V26))</f>
        <v/>
      </c>
      <c r="W31" s="19">
        <f>SUMPRODUCT(($A$7:$A$26=1)*($C$7:$C$26="Bad")*(W7:W26))</f>
        <v/>
      </c>
      <c r="X31" s="19">
        <f>SUMPRODUCT(($A$7:$A$26=1)*($C$7:$C$26="Bad")*(X7:X26))</f>
        <v/>
      </c>
      <c r="Y31" s="19">
        <f>SUMPRODUCT(($A$7:$A$26=1)*($C$7:$C$26="Bad")*(Y7:Y26))</f>
        <v/>
      </c>
      <c r="Z31" s="19">
        <f>SUMPRODUCT(($A$7:$A$26=1)*($C$7:$C$26="Bad")*(Z7:Z26))</f>
        <v/>
      </c>
      <c r="AA31" s="19">
        <f>SUMPRODUCT(($A$7:$A$26=1)*($C$7:$C$26="Bad")*(AA7:AA26))</f>
        <v/>
      </c>
      <c r="AB31" s="19">
        <f>SUMPRODUCT(($A$7:$A$26=1)*($C$7:$C$26="Bad")*(AB7:AB26))</f>
        <v/>
      </c>
      <c r="AC31" s="19">
        <f>SUMPRODUCT(($A$7:$A$26=1)*($C$7:$C$26="Bad")*(AC7:AC26))</f>
        <v/>
      </c>
      <c r="AD31" s="19">
        <f>SUMPRODUCT(($A$7:$A$26=1)*($C$7:$C$26="Bad")*(AD7:AD26))</f>
        <v/>
      </c>
      <c r="AE31" s="19">
        <f>SUMPRODUCT(($A$7:$A$26=1)*($C$7:$C$26="Bad")*(AE7:AE26))</f>
        <v/>
      </c>
      <c r="AF31" s="19">
        <f>SUMPRODUCT(($A$7:$A$26=1)*($C$7:$C$26="Bad")*(AF7:AF26))</f>
        <v/>
      </c>
      <c r="AG31" s="19">
        <f>SUMPRODUCT(($A$7:$A$26=1)*($C$7:$C$26="Bad")*(AG7:AG26))</f>
        <v/>
      </c>
      <c r="AH31" s="19">
        <f>SUMPRODUCT(($A$7:$A$26=1)*($C$7:$C$26="Bad")*(AH7:AH26))</f>
        <v/>
      </c>
      <c r="AI31" s="19">
        <f>SUMPRODUCT(($A$7:$A$26=1)*($C$7:$C$26="Bad")*(AI7:AI26))</f>
        <v/>
      </c>
      <c r="AL31" s="10" t="inlineStr">
        <is>
          <t>Good done</t>
        </is>
      </c>
      <c r="AM31" s="25">
        <f>SUMPRODUCT(($E$6:$AI$6&lt;=$B$3)*(E30:AI30))</f>
        <v/>
      </c>
    </row>
    <row r="32">
      <c r="A32" s="8" t="inlineStr">
        <is>
          <t>Net score</t>
        </is>
      </c>
      <c r="E32" s="19">
        <f>SUMPRODUCT(($A$7:$A$26=1)*($D$7:$D$26)*(E7:E26))</f>
        <v/>
      </c>
      <c r="F32" s="19">
        <f>SUMPRODUCT(($A$7:$A$26=1)*($D$7:$D$26)*(F7:F26))</f>
        <v/>
      </c>
      <c r="G32" s="19">
        <f>SUMPRODUCT(($A$7:$A$26=1)*($D$7:$D$26)*(G7:G26))</f>
        <v/>
      </c>
      <c r="H32" s="19">
        <f>SUMPRODUCT(($A$7:$A$26=1)*($D$7:$D$26)*(H7:H26))</f>
        <v/>
      </c>
      <c r="I32" s="19">
        <f>SUMPRODUCT(($A$7:$A$26=1)*($D$7:$D$26)*(I7:I26))</f>
        <v/>
      </c>
      <c r="J32" s="19">
        <f>SUMPRODUCT(($A$7:$A$26=1)*($D$7:$D$26)*(J7:J26))</f>
        <v/>
      </c>
      <c r="K32" s="19">
        <f>SUMPRODUCT(($A$7:$A$26=1)*($D$7:$D$26)*(K7:K26))</f>
        <v/>
      </c>
      <c r="L32" s="19">
        <f>SUMPRODUCT(($A$7:$A$26=1)*($D$7:$D$26)*(L7:L26))</f>
        <v/>
      </c>
      <c r="M32" s="19">
        <f>SUMPRODUCT(($A$7:$A$26=1)*($D$7:$D$26)*(M7:M26))</f>
        <v/>
      </c>
      <c r="N32" s="19">
        <f>SUMPRODUCT(($A$7:$A$26=1)*($D$7:$D$26)*(N7:N26))</f>
        <v/>
      </c>
      <c r="O32" s="19">
        <f>SUMPRODUCT(($A$7:$A$26=1)*($D$7:$D$26)*(O7:O26))</f>
        <v/>
      </c>
      <c r="P32" s="19">
        <f>SUMPRODUCT(($A$7:$A$26=1)*($D$7:$D$26)*(P7:P26))</f>
        <v/>
      </c>
      <c r="Q32" s="19">
        <f>SUMPRODUCT(($A$7:$A$26=1)*($D$7:$D$26)*(Q7:Q26))</f>
        <v/>
      </c>
      <c r="R32" s="19">
        <f>SUMPRODUCT(($A$7:$A$26=1)*($D$7:$D$26)*(R7:R26))</f>
        <v/>
      </c>
      <c r="S32" s="19">
        <f>SUMPRODUCT(($A$7:$A$26=1)*($D$7:$D$26)*(S7:S26))</f>
        <v/>
      </c>
      <c r="T32" s="19">
        <f>SUMPRODUCT(($A$7:$A$26=1)*($D$7:$D$26)*(T7:T26))</f>
        <v/>
      </c>
      <c r="U32" s="19">
        <f>SUMPRODUCT(($A$7:$A$26=1)*($D$7:$D$26)*(U7:U26))</f>
        <v/>
      </c>
      <c r="V32" s="19">
        <f>SUMPRODUCT(($A$7:$A$26=1)*($D$7:$D$26)*(V7:V26))</f>
        <v/>
      </c>
      <c r="W32" s="19">
        <f>SUMPRODUCT(($A$7:$A$26=1)*($D$7:$D$26)*(W7:W26))</f>
        <v/>
      </c>
      <c r="X32" s="19">
        <f>SUMPRODUCT(($A$7:$A$26=1)*($D$7:$D$26)*(X7:X26))</f>
        <v/>
      </c>
      <c r="Y32" s="19">
        <f>SUMPRODUCT(($A$7:$A$26=1)*($D$7:$D$26)*(Y7:Y26))</f>
        <v/>
      </c>
      <c r="Z32" s="19">
        <f>SUMPRODUCT(($A$7:$A$26=1)*($D$7:$D$26)*(Z7:Z26))</f>
        <v/>
      </c>
      <c r="AA32" s="19">
        <f>SUMPRODUCT(($A$7:$A$26=1)*($D$7:$D$26)*(AA7:AA26))</f>
        <v/>
      </c>
      <c r="AB32" s="19">
        <f>SUMPRODUCT(($A$7:$A$26=1)*($D$7:$D$26)*(AB7:AB26))</f>
        <v/>
      </c>
      <c r="AC32" s="19">
        <f>SUMPRODUCT(($A$7:$A$26=1)*($D$7:$D$26)*(AC7:AC26))</f>
        <v/>
      </c>
      <c r="AD32" s="19">
        <f>SUMPRODUCT(($A$7:$A$26=1)*($D$7:$D$26)*(AD7:AD26))</f>
        <v/>
      </c>
      <c r="AE32" s="19">
        <f>SUMPRODUCT(($A$7:$A$26=1)*($D$7:$D$26)*(AE7:AE26))</f>
        <v/>
      </c>
      <c r="AF32" s="19">
        <f>SUMPRODUCT(($A$7:$A$26=1)*($D$7:$D$26)*(AF7:AF26))</f>
        <v/>
      </c>
      <c r="AG32" s="19">
        <f>SUMPRODUCT(($A$7:$A$26=1)*($D$7:$D$26)*(AG7:AG26))</f>
        <v/>
      </c>
      <c r="AH32" s="19">
        <f>SUMPRODUCT(($A$7:$A$26=1)*($D$7:$D$26)*(AH7:AH26))</f>
        <v/>
      </c>
      <c r="AI32" s="19">
        <f>SUMPRODUCT(($A$7:$A$26=1)*($D$7:$D$26)*(AI7:AI26))</f>
        <v/>
      </c>
      <c r="AL32" s="10" t="inlineStr">
        <is>
          <t>Bad happened</t>
        </is>
      </c>
      <c r="AM32" s="25">
        <f>SUMPRODUCT(($E$6:$AI$6&lt;=$B$3)*(E31:AI31))</f>
        <v/>
      </c>
    </row>
    <row r="33">
      <c r="A33" s="8" t="inlineStr">
        <is>
          <t>Completion % (Good only)</t>
        </is>
      </c>
      <c r="E33" s="26">
        <f>IF(SUMPRODUCT(($A$7:$A$26=1)*($C$7:$C$26="Good"))=0,"",SUMPRODUCT(($A$7:$A$26=1)*($C$7:$C$26="Good")*(E7:E26))/SUMPRODUCT(($A$7:$A$26=1)*($C$7:$C$26="Good")))</f>
        <v/>
      </c>
      <c r="F33" s="26">
        <f>IF(SUMPRODUCT(($A$7:$A$26=1)*($C$7:$C$26="Good"))=0,"",SUMPRODUCT(($A$7:$A$26=1)*($C$7:$C$26="Good")*(F7:F26))/SUMPRODUCT(($A$7:$A$26=1)*($C$7:$C$26="Good")))</f>
        <v/>
      </c>
      <c r="G33" s="26">
        <f>IF(SUMPRODUCT(($A$7:$A$26=1)*($C$7:$C$26="Good"))=0,"",SUMPRODUCT(($A$7:$A$26=1)*($C$7:$C$26="Good")*(G7:G26))/SUMPRODUCT(($A$7:$A$26=1)*($C$7:$C$26="Good")))</f>
        <v/>
      </c>
      <c r="H33" s="26">
        <f>IF(SUMPRODUCT(($A$7:$A$26=1)*($C$7:$C$26="Good"))=0,"",SUMPRODUCT(($A$7:$A$26=1)*($C$7:$C$26="Good")*(H7:H26))/SUMPRODUCT(($A$7:$A$26=1)*($C$7:$C$26="Good")))</f>
        <v/>
      </c>
      <c r="I33" s="26">
        <f>IF(SUMPRODUCT(($A$7:$A$26=1)*($C$7:$C$26="Good"))=0,"",SUMPRODUCT(($A$7:$A$26=1)*($C$7:$C$26="Good")*(I7:I26))/SUMPRODUCT(($A$7:$A$26=1)*($C$7:$C$26="Good")))</f>
        <v/>
      </c>
      <c r="J33" s="26">
        <f>IF(SUMPRODUCT(($A$7:$A$26=1)*($C$7:$C$26="Good"))=0,"",SUMPRODUCT(($A$7:$A$26=1)*($C$7:$C$26="Good")*(J7:J26))/SUMPRODUCT(($A$7:$A$26=1)*($C$7:$C$26="Good")))</f>
        <v/>
      </c>
      <c r="K33" s="26">
        <f>IF(SUMPRODUCT(($A$7:$A$26=1)*($C$7:$C$26="Good"))=0,"",SUMPRODUCT(($A$7:$A$26=1)*($C$7:$C$26="Good")*(K7:K26))/SUMPRODUCT(($A$7:$A$26=1)*($C$7:$C$26="Good")))</f>
        <v/>
      </c>
      <c r="L33" s="26">
        <f>IF(SUMPRODUCT(($A$7:$A$26=1)*($C$7:$C$26="Good"))=0,"",SUMPRODUCT(($A$7:$A$26=1)*($C$7:$C$26="Good")*(L7:L26))/SUMPRODUCT(($A$7:$A$26=1)*($C$7:$C$26="Good")))</f>
        <v/>
      </c>
      <c r="M33" s="26">
        <f>IF(SUMPRODUCT(($A$7:$A$26=1)*($C$7:$C$26="Good"))=0,"",SUMPRODUCT(($A$7:$A$26=1)*($C$7:$C$26="Good")*(M7:M26))/SUMPRODUCT(($A$7:$A$26=1)*($C$7:$C$26="Good")))</f>
        <v/>
      </c>
      <c r="N33" s="26">
        <f>IF(SUMPRODUCT(($A$7:$A$26=1)*($C$7:$C$26="Good"))=0,"",SUMPRODUCT(($A$7:$A$26=1)*($C$7:$C$26="Good")*(N7:N26))/SUMPRODUCT(($A$7:$A$26=1)*($C$7:$C$26="Good")))</f>
        <v/>
      </c>
      <c r="O33" s="26">
        <f>IF(SUMPRODUCT(($A$7:$A$26=1)*($C$7:$C$26="Good"))=0,"",SUMPRODUCT(($A$7:$A$26=1)*($C$7:$C$26="Good")*(O7:O26))/SUMPRODUCT(($A$7:$A$26=1)*($C$7:$C$26="Good")))</f>
        <v/>
      </c>
      <c r="P33" s="26">
        <f>IF(SUMPRODUCT(($A$7:$A$26=1)*($C$7:$C$26="Good"))=0,"",SUMPRODUCT(($A$7:$A$26=1)*($C$7:$C$26="Good")*(P7:P26))/SUMPRODUCT(($A$7:$A$26=1)*($C$7:$C$26="Good")))</f>
        <v/>
      </c>
      <c r="Q33" s="26">
        <f>IF(SUMPRODUCT(($A$7:$A$26=1)*($C$7:$C$26="Good"))=0,"",SUMPRODUCT(($A$7:$A$26=1)*($C$7:$C$26="Good")*(Q7:Q26))/SUMPRODUCT(($A$7:$A$26=1)*($C$7:$C$26="Good")))</f>
        <v/>
      </c>
      <c r="R33" s="26">
        <f>IF(SUMPRODUCT(($A$7:$A$26=1)*($C$7:$C$26="Good"))=0,"",SUMPRODUCT(($A$7:$A$26=1)*($C$7:$C$26="Good")*(R7:R26))/SUMPRODUCT(($A$7:$A$26=1)*($C$7:$C$26="Good")))</f>
        <v/>
      </c>
      <c r="S33" s="26">
        <f>IF(SUMPRODUCT(($A$7:$A$26=1)*($C$7:$C$26="Good"))=0,"",SUMPRODUCT(($A$7:$A$26=1)*($C$7:$C$26="Good")*(S7:S26))/SUMPRODUCT(($A$7:$A$26=1)*($C$7:$C$26="Good")))</f>
        <v/>
      </c>
      <c r="T33" s="26">
        <f>IF(SUMPRODUCT(($A$7:$A$26=1)*($C$7:$C$26="Good"))=0,"",SUMPRODUCT(($A$7:$A$26=1)*($C$7:$C$26="Good")*(T7:T26))/SUMPRODUCT(($A$7:$A$26=1)*($C$7:$C$26="Good")))</f>
        <v/>
      </c>
      <c r="U33" s="26">
        <f>IF(SUMPRODUCT(($A$7:$A$26=1)*($C$7:$C$26="Good"))=0,"",SUMPRODUCT(($A$7:$A$26=1)*($C$7:$C$26="Good")*(U7:U26))/SUMPRODUCT(($A$7:$A$26=1)*($C$7:$C$26="Good")))</f>
        <v/>
      </c>
      <c r="V33" s="26">
        <f>IF(SUMPRODUCT(($A$7:$A$26=1)*($C$7:$C$26="Good"))=0,"",SUMPRODUCT(($A$7:$A$26=1)*($C$7:$C$26="Good")*(V7:V26))/SUMPRODUCT(($A$7:$A$26=1)*($C$7:$C$26="Good")))</f>
        <v/>
      </c>
      <c r="W33" s="26">
        <f>IF(SUMPRODUCT(($A$7:$A$26=1)*($C$7:$C$26="Good"))=0,"",SUMPRODUCT(($A$7:$A$26=1)*($C$7:$C$26="Good")*(W7:W26))/SUMPRODUCT(($A$7:$A$26=1)*($C$7:$C$26="Good")))</f>
        <v/>
      </c>
      <c r="X33" s="26">
        <f>IF(SUMPRODUCT(($A$7:$A$26=1)*($C$7:$C$26="Good"))=0,"",SUMPRODUCT(($A$7:$A$26=1)*($C$7:$C$26="Good")*(X7:X26))/SUMPRODUCT(($A$7:$A$26=1)*($C$7:$C$26="Good")))</f>
        <v/>
      </c>
      <c r="Y33" s="26">
        <f>IF(SUMPRODUCT(($A$7:$A$26=1)*($C$7:$C$26="Good"))=0,"",SUMPRODUCT(($A$7:$A$26=1)*($C$7:$C$26="Good")*(Y7:Y26))/SUMPRODUCT(($A$7:$A$26=1)*($C$7:$C$26="Good")))</f>
        <v/>
      </c>
      <c r="Z33" s="26">
        <f>IF(SUMPRODUCT(($A$7:$A$26=1)*($C$7:$C$26="Good"))=0,"",SUMPRODUCT(($A$7:$A$26=1)*($C$7:$C$26="Good")*(Z7:Z26))/SUMPRODUCT(($A$7:$A$26=1)*($C$7:$C$26="Good")))</f>
        <v/>
      </c>
      <c r="AA33" s="26">
        <f>IF(SUMPRODUCT(($A$7:$A$26=1)*($C$7:$C$26="Good"))=0,"",SUMPRODUCT(($A$7:$A$26=1)*($C$7:$C$26="Good")*(AA7:AA26))/SUMPRODUCT(($A$7:$A$26=1)*($C$7:$C$26="Good")))</f>
        <v/>
      </c>
      <c r="AB33" s="26">
        <f>IF(SUMPRODUCT(($A$7:$A$26=1)*($C$7:$C$26="Good"))=0,"",SUMPRODUCT(($A$7:$A$26=1)*($C$7:$C$26="Good")*(AB7:AB26))/SUMPRODUCT(($A$7:$A$26=1)*($C$7:$C$26="Good")))</f>
        <v/>
      </c>
      <c r="AC33" s="26">
        <f>IF(SUMPRODUCT(($A$7:$A$26=1)*($C$7:$C$26="Good"))=0,"",SUMPRODUCT(($A$7:$A$26=1)*($C$7:$C$26="Good")*(AC7:AC26))/SUMPRODUCT(($A$7:$A$26=1)*($C$7:$C$26="Good")))</f>
        <v/>
      </c>
      <c r="AD33" s="26">
        <f>IF(SUMPRODUCT(($A$7:$A$26=1)*($C$7:$C$26="Good"))=0,"",SUMPRODUCT(($A$7:$A$26=1)*($C$7:$C$26="Good")*(AD7:AD26))/SUMPRODUCT(($A$7:$A$26=1)*($C$7:$C$26="Good")))</f>
        <v/>
      </c>
      <c r="AE33" s="26">
        <f>IF(SUMPRODUCT(($A$7:$A$26=1)*($C$7:$C$26="Good"))=0,"",SUMPRODUCT(($A$7:$A$26=1)*($C$7:$C$26="Good")*(AE7:AE26))/SUMPRODUCT(($A$7:$A$26=1)*($C$7:$C$26="Good")))</f>
        <v/>
      </c>
      <c r="AF33" s="26">
        <f>IF(SUMPRODUCT(($A$7:$A$26=1)*($C$7:$C$26="Good"))=0,"",SUMPRODUCT(($A$7:$A$26=1)*($C$7:$C$26="Good")*(AF7:AF26))/SUMPRODUCT(($A$7:$A$26=1)*($C$7:$C$26="Good")))</f>
        <v/>
      </c>
      <c r="AG33" s="26">
        <f>IF(SUMPRODUCT(($A$7:$A$26=1)*($C$7:$C$26="Good"))=0,"",SUMPRODUCT(($A$7:$A$26=1)*($C$7:$C$26="Good")*(AG7:AG26))/SUMPRODUCT(($A$7:$A$26=1)*($C$7:$C$26="Good")))</f>
        <v/>
      </c>
      <c r="AH33" s="26">
        <f>IF(SUMPRODUCT(($A$7:$A$26=1)*($C$7:$C$26="Good"))=0,"",SUMPRODUCT(($A$7:$A$26=1)*($C$7:$C$26="Good")*(AH7:AH26))/SUMPRODUCT(($A$7:$A$26=1)*($C$7:$C$26="Good")))</f>
        <v/>
      </c>
      <c r="AI33" s="26">
        <f>IF(SUMPRODUCT(($A$7:$A$26=1)*($C$7:$C$26="Good"))=0,"",SUMPRODUCT(($A$7:$A$26=1)*($C$7:$C$26="Good")*(AI7:AI26))/SUMPRODUCT(($A$7:$A$26=1)*($C$7:$C$26="Good")))</f>
        <v/>
      </c>
      <c r="AL33" s="10" t="inlineStr">
        <is>
          <t>Net score</t>
        </is>
      </c>
      <c r="AM33" s="25">
        <f>SUMPRODUCT(($E$6:$AI$6&lt;=$B$3)*(E32:AI32))</f>
        <v/>
      </c>
    </row>
    <row r="34">
      <c r="AL34" s="10" t="inlineStr">
        <is>
          <t>Avg completion (Good)</t>
        </is>
      </c>
      <c r="AM34" s="27">
        <f>AVERAGEIF($E$6:$AI$6,"&lt;="&amp;$B$3,E33:AI33)</f>
        <v/>
      </c>
    </row>
  </sheetData>
  <mergeCells count="6">
    <mergeCell ref="A31:D31"/>
    <mergeCell ref="A1:AI1"/>
    <mergeCell ref="A30:D30"/>
    <mergeCell ref="A29:D29"/>
    <mergeCell ref="A33:D33"/>
    <mergeCell ref="A32:D32"/>
  </mergeCells>
  <conditionalFormatting sqref="E7:AI26">
    <cfRule type="expression" priority="1" dxfId="0">
      <formula>E7=1</formula>
    </cfRule>
  </conditionalFormatting>
  <conditionalFormatting sqref="E5:E33">
    <cfRule type="expression" priority="2" dxfId="1">
      <formula>E$6&gt;$B$3</formula>
    </cfRule>
  </conditionalFormatting>
  <conditionalFormatting sqref="F5:F33">
    <cfRule type="expression" priority="3" dxfId="1">
      <formula>F$6&gt;$B$3</formula>
    </cfRule>
  </conditionalFormatting>
  <conditionalFormatting sqref="G5:G33">
    <cfRule type="expression" priority="4" dxfId="1">
      <formula>G$6&gt;$B$3</formula>
    </cfRule>
  </conditionalFormatting>
  <conditionalFormatting sqref="H5:H33">
    <cfRule type="expression" priority="5" dxfId="1">
      <formula>H$6&gt;$B$3</formula>
    </cfRule>
  </conditionalFormatting>
  <conditionalFormatting sqref="I5:I33">
    <cfRule type="expression" priority="6" dxfId="1">
      <formula>I$6&gt;$B$3</formula>
    </cfRule>
  </conditionalFormatting>
  <conditionalFormatting sqref="J5:J33">
    <cfRule type="expression" priority="7" dxfId="1">
      <formula>J$6&gt;$B$3</formula>
    </cfRule>
  </conditionalFormatting>
  <conditionalFormatting sqref="K5:K33">
    <cfRule type="expression" priority="8" dxfId="1">
      <formula>K$6&gt;$B$3</formula>
    </cfRule>
  </conditionalFormatting>
  <conditionalFormatting sqref="L5:L33">
    <cfRule type="expression" priority="9" dxfId="1">
      <formula>L$6&gt;$B$3</formula>
    </cfRule>
  </conditionalFormatting>
  <conditionalFormatting sqref="M5:M33">
    <cfRule type="expression" priority="10" dxfId="1">
      <formula>M$6&gt;$B$3</formula>
    </cfRule>
  </conditionalFormatting>
  <conditionalFormatting sqref="N5:N33">
    <cfRule type="expression" priority="11" dxfId="1">
      <formula>N$6&gt;$B$3</formula>
    </cfRule>
  </conditionalFormatting>
  <conditionalFormatting sqref="O5:O33">
    <cfRule type="expression" priority="12" dxfId="1">
      <formula>O$6&gt;$B$3</formula>
    </cfRule>
  </conditionalFormatting>
  <conditionalFormatting sqref="P5:P33">
    <cfRule type="expression" priority="13" dxfId="1">
      <formula>P$6&gt;$B$3</formula>
    </cfRule>
  </conditionalFormatting>
  <conditionalFormatting sqref="Q5:Q33">
    <cfRule type="expression" priority="14" dxfId="1">
      <formula>Q$6&gt;$B$3</formula>
    </cfRule>
  </conditionalFormatting>
  <conditionalFormatting sqref="R5:R33">
    <cfRule type="expression" priority="15" dxfId="1">
      <formula>R$6&gt;$B$3</formula>
    </cfRule>
  </conditionalFormatting>
  <conditionalFormatting sqref="S5:S33">
    <cfRule type="expression" priority="16" dxfId="1">
      <formula>S$6&gt;$B$3</formula>
    </cfRule>
  </conditionalFormatting>
  <conditionalFormatting sqref="T5:T33">
    <cfRule type="expression" priority="17" dxfId="1">
      <formula>T$6&gt;$B$3</formula>
    </cfRule>
  </conditionalFormatting>
  <conditionalFormatting sqref="U5:U33">
    <cfRule type="expression" priority="18" dxfId="1">
      <formula>U$6&gt;$B$3</formula>
    </cfRule>
  </conditionalFormatting>
  <conditionalFormatting sqref="V5:V33">
    <cfRule type="expression" priority="19" dxfId="1">
      <formula>V$6&gt;$B$3</formula>
    </cfRule>
  </conditionalFormatting>
  <conditionalFormatting sqref="W5:W33">
    <cfRule type="expression" priority="20" dxfId="1">
      <formula>W$6&gt;$B$3</formula>
    </cfRule>
  </conditionalFormatting>
  <conditionalFormatting sqref="X5:X33">
    <cfRule type="expression" priority="21" dxfId="1">
      <formula>X$6&gt;$B$3</formula>
    </cfRule>
  </conditionalFormatting>
  <conditionalFormatting sqref="Y5:Y33">
    <cfRule type="expression" priority="22" dxfId="1">
      <formula>Y$6&gt;$B$3</formula>
    </cfRule>
  </conditionalFormatting>
  <conditionalFormatting sqref="Z5:Z33">
    <cfRule type="expression" priority="23" dxfId="1">
      <formula>Z$6&gt;$B$3</formula>
    </cfRule>
  </conditionalFormatting>
  <conditionalFormatting sqref="AA5:AA33">
    <cfRule type="expression" priority="24" dxfId="1">
      <formula>AA$6&gt;$B$3</formula>
    </cfRule>
  </conditionalFormatting>
  <conditionalFormatting sqref="AB5:AB33">
    <cfRule type="expression" priority="25" dxfId="1">
      <formula>AB$6&gt;$B$3</formula>
    </cfRule>
  </conditionalFormatting>
  <conditionalFormatting sqref="AC5:AC33">
    <cfRule type="expression" priority="26" dxfId="1">
      <formula>AC$6&gt;$B$3</formula>
    </cfRule>
  </conditionalFormatting>
  <conditionalFormatting sqref="AD5:AD33">
    <cfRule type="expression" priority="27" dxfId="1">
      <formula>AD$6&gt;$B$3</formula>
    </cfRule>
  </conditionalFormatting>
  <conditionalFormatting sqref="AE5:AE33">
    <cfRule type="expression" priority="28" dxfId="1">
      <formula>AE$6&gt;$B$3</formula>
    </cfRule>
  </conditionalFormatting>
  <conditionalFormatting sqref="AF5:AF33">
    <cfRule type="expression" priority="29" dxfId="1">
      <formula>AF$6&gt;$B$3</formula>
    </cfRule>
  </conditionalFormatting>
  <conditionalFormatting sqref="AG5:AG33">
    <cfRule type="expression" priority="30" dxfId="1">
      <formula>AG$6&gt;$B$3</formula>
    </cfRule>
  </conditionalFormatting>
  <conditionalFormatting sqref="AH5:AH33">
    <cfRule type="expression" priority="31" dxfId="1">
      <formula>AH$6&gt;$B$3</formula>
    </cfRule>
  </conditionalFormatting>
  <conditionalFormatting sqref="AI5:AI33">
    <cfRule type="expression" priority="32" dxfId="1">
      <formula>AI$6&gt;$B$3</formula>
    </cfRule>
  </conditionalFormatting>
  <dataValidations count="1">
    <dataValidation sqref="E7 E8 E9 E10 E11 E12 E13 E14 E15 E16 E17 E18 E19 E20 E21 E22 E23 E24 E25 E26 F7 F8 F9 F10 F11 F12 F13 F14 F15 F16 F17 F18 F19 F20 F21 F22 F23 F24 F25 F26 G7 G8 G9 G10 G11 G12 G13 G14 G15 G16 G17 G18 G19 G20 G21 G22 G23 G24 G25 G26 H7 H8 H9 H10 H11 H12 H13 H14 H15 H16 H17 H18 H19 H20 H21 H22 H23 H24 H25 H26 I7 I8 I9 I10 I11 I12 I13 I14 I15 I16 I17 I18 I19 I20 I21 I22 I23 I24 I25 I26 J7 J8 J9 J10 J11 J12 J13 J14 J15 J16 J17 J18 J19 J20 J21 J22 J23 J24 J25 J26 K7 K8 K9 K10 K11 K12 K13 K14 K15 K16 K17 K18 K19 K20 K21 K22 K23 K24 K25 K26 L7 L8 L9 L10 L11 L12 L13 L14 L15 L16 L17 L18 L19 L20 L21 L22 L23 L24 L25 L26 M7 M8 M9 M10 M11 M12 M13 M14 M15 M16 M17 M18 M19 M20 M21 M22 M23 M24 M25 M26 N7 N8 N9 N10 N11 N12 N13 N14 N15 N16 N17 N18 N19 N20 N21 N22 N23 N24 N25 N26 O7 O8 O9 O10 O11 O12 O13 O14 O15 O16 O17 O18 O19 O20 O21 O22 O23 O24 O25 O26 P7 P8 P9 P10 P11 P12 P13 P14 P15 P16 P17 P18 P19 P20 P21 P22 P23 P24 P25 P26 Q7 Q8 Q9 Q10 Q11 Q12 Q13 Q14 Q15 Q16 Q17 Q18 Q19 Q20 Q21 Q22 Q23 Q24 Q25 Q26 R7 R8 R9 R10 R11 R12 R13 R14 R15 R16 R17 R18 R19 R20 R21 R22 R23 R24 R25 R26 S7 S8 S9 S10 S11 S12 S13 S14 S15 S16 S17 S18 S19 S20 S21 S22 S23 S24 S25 S26 T7 T8 T9 T10 T11 T12 T13 T14 T15 T16 T17 T18 T19 T20 T21 T22 T23 T24 T25 T26 U7 U8 U9 U10 U11 U12 U13 U14 U15 U16 U17 U18 U19 U20 U21 U22 U23 U24 U25 U26 V7 V8 V9 V10 V11 V12 V13 V14 V15 V16 V17 V18 V19 V20 V21 V22 V23 V24 V25 V26 W7 W8 W9 W10 W11 W12 W13 W14 W15 W16 W17 W18 W19 W20 W21 W22 W23 W24 W25 W26 X7 X8 X9 X10 X11 X12 X13 X14 X15 X16 X17 X18 X19 X20 X21 X22 X23 X24 X25 X26 Y7 Y8 Y9 Y10 Y11 Y12 Y13 Y14 Y15 Y16 Y17 Y18 Y19 Y20 Y21 Y22 Y23 Y24 Y25 Y26 Z7 Z8 Z9 Z10 Z11 Z12 Z13 Z14 Z15 Z16 Z17 Z18 Z19 Z20 Z21 Z22 Z23 Z24 Z25 Z26 AA7 AA8 AA9 AA10 AA11 AA12 AA13 AA14 AA15 AA16 AA17 AA18 AA19 AA20 AA21 AA22 AA23 AA24 AA25 AA26 AB7 AB8 AB9 AB10 AB11 AB12 AB13 AB14 AB15 AB16 AB17 AB18 AB19 AB20 AB21 AB22 AB23 AB24 AB25 AB26 AC7 AC8 AC9 AC10 AC11 AC12 AC13 AC14 AC15 AC16 AC17 AC18 AC19 AC20 AC21 AC22 AC23 AC24 AC25 AC26 AD7 AD8 AD9 AD10 AD11 AD12 AD13 AD14 AD15 AD16 AD17 AD18 AD19 AD20 AD21 AD22 AD23 AD24 AD25 AD26 AE7 AE8 AE9 AE10 AE11 AE12 AE13 AE14 AE15 AE16 AE17 AE18 AE19 AE20 AE21 AE22 AE23 AE24 AE25 AE26 AF7 AF8 AF9 AF10 AF11 AF12 AF13 AF14 AF15 AF16 AF17 AF18 AF19 AF20 AF21 AF22 AF23 AF24 AF25 AF26 AG7 AG8 AG9 AG10 AG11 AG12 AG13 AG14 AG15 AG16 AG17 AG18 AG19 AG20 AG21 AG22 AG23 AG24 AG25 AG26 AH7 AH8 AH9 AH10 AH11 AH12 AH13 AH14 AH15 AH16 AH17 AH18 AH19 AH20 AH21 AH22 AH23 AH24 AH25 AH26 AI7 AI8 AI9 AI10 AI11 AI12 AI13 AI14 AI15 AI16 AI17 AI18 AI19 AI20 AI21 AI22 AI23 AI24 AI25 AI26" showDropDown="0" showInputMessage="0" showErrorMessage="0" allowBlank="1" type="list">
      <formula1>"0,1"</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M3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9"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7" customWidth="1" min="36" max="36"/>
    <col width="18" customWidth="1" min="38" max="38"/>
    <col width="12" customWidth="1" min="39" max="39"/>
  </cols>
  <sheetData>
    <row r="1">
      <c r="A1" s="15" t="inlineStr">
        <is>
          <t>Jun Habit Tracker</t>
        </is>
      </c>
    </row>
    <row r="2">
      <c r="A2" s="10" t="inlineStr">
        <is>
          <t>Year:</t>
        </is>
      </c>
      <c r="B2">
        <f>Setup!$B$3</f>
        <v/>
      </c>
      <c r="C2" s="10" t="inlineStr">
        <is>
          <t>Month:</t>
        </is>
      </c>
      <c r="D2" t="inlineStr">
        <is>
          <t>Jun</t>
        </is>
      </c>
    </row>
    <row r="3">
      <c r="A3" s="10" t="inlineStr">
        <is>
          <t>Days in month:</t>
        </is>
      </c>
      <c r="B3">
        <f>DAY(EOMONTH(DATE(Setup!$B$3,6,1),0))</f>
        <v/>
      </c>
    </row>
    <row r="5" ht="18" customHeight="1">
      <c r="E5" s="16">
        <f>TEXT(DATE(Setup!$B$3,6,1),"ddd")</f>
        <v/>
      </c>
      <c r="F5" s="16">
        <f>TEXT(DATE(Setup!$B$3,6,2),"ddd")</f>
        <v/>
      </c>
      <c r="G5" s="16">
        <f>TEXT(DATE(Setup!$B$3,6,3),"ddd")</f>
        <v/>
      </c>
      <c r="H5" s="16">
        <f>TEXT(DATE(Setup!$B$3,6,4),"ddd")</f>
        <v/>
      </c>
      <c r="I5" s="16">
        <f>TEXT(DATE(Setup!$B$3,6,5),"ddd")</f>
        <v/>
      </c>
      <c r="J5" s="16">
        <f>TEXT(DATE(Setup!$B$3,6,6),"ddd")</f>
        <v/>
      </c>
      <c r="K5" s="16">
        <f>TEXT(DATE(Setup!$B$3,6,7),"ddd")</f>
        <v/>
      </c>
      <c r="L5" s="16">
        <f>TEXT(DATE(Setup!$B$3,6,8),"ddd")</f>
        <v/>
      </c>
      <c r="M5" s="16">
        <f>TEXT(DATE(Setup!$B$3,6,9),"ddd")</f>
        <v/>
      </c>
      <c r="N5" s="16">
        <f>TEXT(DATE(Setup!$B$3,6,10),"ddd")</f>
        <v/>
      </c>
      <c r="O5" s="16">
        <f>TEXT(DATE(Setup!$B$3,6,11),"ddd")</f>
        <v/>
      </c>
      <c r="P5" s="16">
        <f>TEXT(DATE(Setup!$B$3,6,12),"ddd")</f>
        <v/>
      </c>
      <c r="Q5" s="16">
        <f>TEXT(DATE(Setup!$B$3,6,13),"ddd")</f>
        <v/>
      </c>
      <c r="R5" s="16">
        <f>TEXT(DATE(Setup!$B$3,6,14),"ddd")</f>
        <v/>
      </c>
      <c r="S5" s="16">
        <f>TEXT(DATE(Setup!$B$3,6,15),"ddd")</f>
        <v/>
      </c>
      <c r="T5" s="16">
        <f>TEXT(DATE(Setup!$B$3,6,16),"ddd")</f>
        <v/>
      </c>
      <c r="U5" s="16">
        <f>TEXT(DATE(Setup!$B$3,6,17),"ddd")</f>
        <v/>
      </c>
      <c r="V5" s="16">
        <f>TEXT(DATE(Setup!$B$3,6,18),"ddd")</f>
        <v/>
      </c>
      <c r="W5" s="16">
        <f>TEXT(DATE(Setup!$B$3,6,19),"ddd")</f>
        <v/>
      </c>
      <c r="X5" s="16">
        <f>TEXT(DATE(Setup!$B$3,6,20),"ddd")</f>
        <v/>
      </c>
      <c r="Y5" s="16">
        <f>TEXT(DATE(Setup!$B$3,6,21),"ddd")</f>
        <v/>
      </c>
      <c r="Z5" s="16">
        <f>TEXT(DATE(Setup!$B$3,6,22),"ddd")</f>
        <v/>
      </c>
      <c r="AA5" s="16">
        <f>TEXT(DATE(Setup!$B$3,6,23),"ddd")</f>
        <v/>
      </c>
      <c r="AB5" s="16">
        <f>TEXT(DATE(Setup!$B$3,6,24),"ddd")</f>
        <v/>
      </c>
      <c r="AC5" s="16">
        <f>TEXT(DATE(Setup!$B$3,6,25),"ddd")</f>
        <v/>
      </c>
      <c r="AD5" s="16">
        <f>TEXT(DATE(Setup!$B$3,6,26),"ddd")</f>
        <v/>
      </c>
      <c r="AE5" s="16">
        <f>TEXT(DATE(Setup!$B$3,6,27),"ddd")</f>
        <v/>
      </c>
      <c r="AF5" s="16">
        <f>TEXT(DATE(Setup!$B$3,6,28),"ddd")</f>
        <v/>
      </c>
      <c r="AG5" s="16">
        <f>TEXT(DATE(Setup!$B$3,6,29),"ddd")</f>
        <v/>
      </c>
      <c r="AH5" s="16">
        <f>TEXT(DATE(Setup!$B$3,6,30),"ddd")</f>
        <v/>
      </c>
      <c r="AI5" s="16">
        <f>TEXT(DATE(Setup!$B$3,6,31),"ddd")</f>
        <v/>
      </c>
    </row>
    <row r="6" ht="18" customHeight="1">
      <c r="A6" s="17" t="inlineStr">
        <is>
          <t>Active</t>
        </is>
      </c>
      <c r="B6" s="17" t="inlineStr">
        <is>
          <t>Habit</t>
        </is>
      </c>
      <c r="C6" s="17" t="inlineStr">
        <is>
          <t>Type</t>
        </is>
      </c>
      <c r="D6" s="17" t="inlineStr">
        <is>
          <t>Points</t>
        </is>
      </c>
      <c r="E6" s="18" t="n">
        <v>1</v>
      </c>
      <c r="F6" s="18" t="n">
        <v>2</v>
      </c>
      <c r="G6" s="18" t="n">
        <v>3</v>
      </c>
      <c r="H6" s="18" t="n">
        <v>4</v>
      </c>
      <c r="I6" s="18" t="n">
        <v>5</v>
      </c>
      <c r="J6" s="18" t="n">
        <v>6</v>
      </c>
      <c r="K6" s="18" t="n">
        <v>7</v>
      </c>
      <c r="L6" s="18" t="n">
        <v>8</v>
      </c>
      <c r="M6" s="18" t="n">
        <v>9</v>
      </c>
      <c r="N6" s="18" t="n">
        <v>10</v>
      </c>
      <c r="O6" s="18" t="n">
        <v>11</v>
      </c>
      <c r="P6" s="18" t="n">
        <v>12</v>
      </c>
      <c r="Q6" s="18" t="n">
        <v>13</v>
      </c>
      <c r="R6" s="18" t="n">
        <v>14</v>
      </c>
      <c r="S6" s="18" t="n">
        <v>15</v>
      </c>
      <c r="T6" s="18" t="n">
        <v>16</v>
      </c>
      <c r="U6" s="18" t="n">
        <v>17</v>
      </c>
      <c r="V6" s="18" t="n">
        <v>18</v>
      </c>
      <c r="W6" s="18" t="n">
        <v>19</v>
      </c>
      <c r="X6" s="18" t="n">
        <v>20</v>
      </c>
      <c r="Y6" s="18" t="n">
        <v>21</v>
      </c>
      <c r="Z6" s="18" t="n">
        <v>22</v>
      </c>
      <c r="AA6" s="18" t="n">
        <v>23</v>
      </c>
      <c r="AB6" s="18" t="n">
        <v>24</v>
      </c>
      <c r="AC6" s="18" t="n">
        <v>25</v>
      </c>
      <c r="AD6" s="18" t="n">
        <v>26</v>
      </c>
      <c r="AE6" s="18" t="n">
        <v>27</v>
      </c>
      <c r="AF6" s="18" t="n">
        <v>28</v>
      </c>
      <c r="AG6" s="18" t="n">
        <v>29</v>
      </c>
      <c r="AH6" s="18" t="n">
        <v>30</v>
      </c>
      <c r="AI6" s="18" t="n">
        <v>31</v>
      </c>
      <c r="AJ6" s="17" t="inlineStr">
        <is>
          <t>Total</t>
        </is>
      </c>
    </row>
    <row r="7">
      <c r="A7" s="19">
        <f>Setup!D9</f>
        <v/>
      </c>
      <c r="B7" s="20">
        <f>Setup!A9</f>
        <v/>
      </c>
      <c r="C7" s="19">
        <f>Setup!B9</f>
        <v/>
      </c>
      <c r="D7" s="19">
        <f>Setup!E9</f>
        <v/>
      </c>
      <c r="E7" s="21" t="inlineStr"/>
      <c r="F7" s="21" t="inlineStr"/>
      <c r="G7" s="21" t="inlineStr"/>
      <c r="H7" s="21" t="inlineStr"/>
      <c r="I7" s="21" t="inlineStr"/>
      <c r="J7" s="21" t="inlineStr"/>
      <c r="K7" s="21" t="inlineStr"/>
      <c r="L7" s="21" t="inlineStr"/>
      <c r="M7" s="21" t="inlineStr"/>
      <c r="N7" s="21" t="inlineStr"/>
      <c r="O7" s="21" t="inlineStr"/>
      <c r="P7" s="21" t="inlineStr"/>
      <c r="Q7" s="21" t="inlineStr"/>
      <c r="R7" s="21" t="inlineStr"/>
      <c r="S7" s="21" t="inlineStr"/>
      <c r="T7" s="21" t="inlineStr"/>
      <c r="U7" s="21" t="inlineStr"/>
      <c r="V7" s="21" t="inlineStr"/>
      <c r="W7" s="21" t="inlineStr"/>
      <c r="X7" s="21" t="inlineStr"/>
      <c r="Y7" s="21" t="inlineStr"/>
      <c r="Z7" s="21" t="inlineStr"/>
      <c r="AA7" s="21" t="inlineStr"/>
      <c r="AB7" s="21" t="inlineStr"/>
      <c r="AC7" s="21" t="inlineStr"/>
      <c r="AD7" s="21" t="inlineStr"/>
      <c r="AE7" s="21" t="inlineStr"/>
      <c r="AF7" s="21" t="inlineStr"/>
      <c r="AG7" s="21" t="inlineStr"/>
      <c r="AH7" s="21" t="inlineStr"/>
      <c r="AI7" s="21" t="inlineStr"/>
      <c r="AJ7" s="22">
        <f>IF($A7=1,SUMPRODUCT(($E$6:$AI$6&lt;=$B$3)*(E7:AI7)),"")</f>
        <v/>
      </c>
    </row>
    <row r="8">
      <c r="A8" s="19">
        <f>Setup!D10</f>
        <v/>
      </c>
      <c r="B8" s="20">
        <f>Setup!A10</f>
        <v/>
      </c>
      <c r="C8" s="19">
        <f>Setup!B10</f>
        <v/>
      </c>
      <c r="D8" s="19">
        <f>Setup!E10</f>
        <v/>
      </c>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2">
        <f>IF($A8=1,SUMPRODUCT(($E$6:$AI$6&lt;=$B$3)*(E8:AI8)),"")</f>
        <v/>
      </c>
    </row>
    <row r="9">
      <c r="A9" s="19">
        <f>Setup!D11</f>
        <v/>
      </c>
      <c r="B9" s="20">
        <f>Setup!A11</f>
        <v/>
      </c>
      <c r="C9" s="19">
        <f>Setup!B11</f>
        <v/>
      </c>
      <c r="D9" s="19">
        <f>Setup!E11</f>
        <v/>
      </c>
      <c r="E9" s="21" t="inlineStr"/>
      <c r="F9" s="21" t="inlineStr"/>
      <c r="G9" s="21" t="inlineStr"/>
      <c r="H9" s="21" t="inlineStr"/>
      <c r="I9" s="21" t="inlineStr"/>
      <c r="J9" s="21" t="inlineStr"/>
      <c r="K9" s="21" t="inlineStr"/>
      <c r="L9" s="21" t="inlineStr"/>
      <c r="M9" s="21" t="inlineStr"/>
      <c r="N9" s="21" t="inlineStr"/>
      <c r="O9" s="21" t="inlineStr"/>
      <c r="P9" s="21" t="inlineStr"/>
      <c r="Q9" s="21" t="inlineStr"/>
      <c r="R9" s="21" t="inlineStr"/>
      <c r="S9" s="21" t="inlineStr"/>
      <c r="T9" s="21" t="inlineStr"/>
      <c r="U9" s="21" t="inlineStr"/>
      <c r="V9" s="21" t="inlineStr"/>
      <c r="W9" s="21" t="inlineStr"/>
      <c r="X9" s="21" t="inlineStr"/>
      <c r="Y9" s="21" t="inlineStr"/>
      <c r="Z9" s="21" t="inlineStr"/>
      <c r="AA9" s="21" t="inlineStr"/>
      <c r="AB9" s="21" t="inlineStr"/>
      <c r="AC9" s="21" t="inlineStr"/>
      <c r="AD9" s="21" t="inlineStr"/>
      <c r="AE9" s="21" t="inlineStr"/>
      <c r="AF9" s="21" t="inlineStr"/>
      <c r="AG9" s="21" t="inlineStr"/>
      <c r="AH9" s="21" t="inlineStr"/>
      <c r="AI9" s="21" t="inlineStr"/>
      <c r="AJ9" s="22">
        <f>IF($A9=1,SUMPRODUCT(($E$6:$AI$6&lt;=$B$3)*(E9:AI9)),"")</f>
        <v/>
      </c>
    </row>
    <row r="10">
      <c r="A10" s="19">
        <f>Setup!D12</f>
        <v/>
      </c>
      <c r="B10" s="20">
        <f>Setup!A12</f>
        <v/>
      </c>
      <c r="C10" s="19">
        <f>Setup!B12</f>
        <v/>
      </c>
      <c r="D10" s="19">
        <f>Setup!E12</f>
        <v/>
      </c>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2">
        <f>IF($A10=1,SUMPRODUCT(($E$6:$AI$6&lt;=$B$3)*(E10:AI10)),"")</f>
        <v/>
      </c>
    </row>
    <row r="11">
      <c r="A11" s="19">
        <f>Setup!D13</f>
        <v/>
      </c>
      <c r="B11" s="20">
        <f>Setup!A13</f>
        <v/>
      </c>
      <c r="C11" s="19">
        <f>Setup!B13</f>
        <v/>
      </c>
      <c r="D11" s="19">
        <f>Setup!E13</f>
        <v/>
      </c>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c r="R11" s="21" t="inlineStr"/>
      <c r="S11" s="21" t="inlineStr"/>
      <c r="T11" s="21" t="inlineStr"/>
      <c r="U11" s="21" t="inlineStr"/>
      <c r="V11" s="21" t="inlineStr"/>
      <c r="W11" s="21" t="inlineStr"/>
      <c r="X11" s="21" t="inlineStr"/>
      <c r="Y11" s="21" t="inlineStr"/>
      <c r="Z11" s="21" t="inlineStr"/>
      <c r="AA11" s="21" t="inlineStr"/>
      <c r="AB11" s="21" t="inlineStr"/>
      <c r="AC11" s="21" t="inlineStr"/>
      <c r="AD11" s="21" t="inlineStr"/>
      <c r="AE11" s="21" t="inlineStr"/>
      <c r="AF11" s="21" t="inlineStr"/>
      <c r="AG11" s="21" t="inlineStr"/>
      <c r="AH11" s="21" t="inlineStr"/>
      <c r="AI11" s="21" t="inlineStr"/>
      <c r="AJ11" s="22">
        <f>IF($A11=1,SUMPRODUCT(($E$6:$AI$6&lt;=$B$3)*(E11:AI11)),"")</f>
        <v/>
      </c>
    </row>
    <row r="12">
      <c r="A12" s="19">
        <f>Setup!D14</f>
        <v/>
      </c>
      <c r="B12" s="20">
        <f>Setup!A14</f>
        <v/>
      </c>
      <c r="C12" s="19">
        <f>Setup!B14</f>
        <v/>
      </c>
      <c r="D12" s="19">
        <f>Setup!E14</f>
        <v/>
      </c>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2">
        <f>IF($A12=1,SUMPRODUCT(($E$6:$AI$6&lt;=$B$3)*(E12:AI12)),"")</f>
        <v/>
      </c>
    </row>
    <row r="13">
      <c r="A13" s="19">
        <f>Setup!D15</f>
        <v/>
      </c>
      <c r="B13" s="20">
        <f>Setup!A15</f>
        <v/>
      </c>
      <c r="C13" s="19">
        <f>Setup!B15</f>
        <v/>
      </c>
      <c r="D13" s="19">
        <f>Setup!E15</f>
        <v/>
      </c>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c r="U13" s="21" t="inlineStr"/>
      <c r="V13" s="21" t="inlineStr"/>
      <c r="W13" s="21" t="inlineStr"/>
      <c r="X13" s="21" t="inlineStr"/>
      <c r="Y13" s="21" t="inlineStr"/>
      <c r="Z13" s="21" t="inlineStr"/>
      <c r="AA13" s="21" t="inlineStr"/>
      <c r="AB13" s="21" t="inlineStr"/>
      <c r="AC13" s="21" t="inlineStr"/>
      <c r="AD13" s="21" t="inlineStr"/>
      <c r="AE13" s="21" t="inlineStr"/>
      <c r="AF13" s="21" t="inlineStr"/>
      <c r="AG13" s="21" t="inlineStr"/>
      <c r="AH13" s="21" t="inlineStr"/>
      <c r="AI13" s="21" t="inlineStr"/>
      <c r="AJ13" s="22">
        <f>IF($A13=1,SUMPRODUCT(($E$6:$AI$6&lt;=$B$3)*(E13:AI13)),"")</f>
        <v/>
      </c>
    </row>
    <row r="14">
      <c r="A14" s="19">
        <f>Setup!D16</f>
        <v/>
      </c>
      <c r="B14" s="20">
        <f>Setup!A16</f>
        <v/>
      </c>
      <c r="C14" s="19">
        <f>Setup!B16</f>
        <v/>
      </c>
      <c r="D14" s="19">
        <f>Setup!E16</f>
        <v/>
      </c>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2">
        <f>IF($A14=1,SUMPRODUCT(($E$6:$AI$6&lt;=$B$3)*(E14:AI14)),"")</f>
        <v/>
      </c>
    </row>
    <row r="15">
      <c r="A15" s="19">
        <f>Setup!D17</f>
        <v/>
      </c>
      <c r="B15" s="20">
        <f>Setup!A17</f>
        <v/>
      </c>
      <c r="C15" s="19">
        <f>Setup!B17</f>
        <v/>
      </c>
      <c r="D15" s="19">
        <f>Setup!E17</f>
        <v/>
      </c>
      <c r="E15" s="21" t="inlineStr"/>
      <c r="F15" s="21" t="inlineStr"/>
      <c r="G15" s="21" t="inlineStr"/>
      <c r="H15" s="21" t="inlineStr"/>
      <c r="I15" s="21" t="inlineStr"/>
      <c r="J15" s="21" t="inlineStr"/>
      <c r="K15" s="21" t="inlineStr"/>
      <c r="L15" s="21" t="inlineStr"/>
      <c r="M15" s="21" t="inlineStr"/>
      <c r="N15" s="21" t="inlineStr"/>
      <c r="O15" s="21" t="inlineStr"/>
      <c r="P15" s="21" t="inlineStr"/>
      <c r="Q15" s="21" t="inlineStr"/>
      <c r="R15" s="21" t="inlineStr"/>
      <c r="S15" s="21" t="inlineStr"/>
      <c r="T15" s="21" t="inlineStr"/>
      <c r="U15" s="21" t="inlineStr"/>
      <c r="V15" s="21" t="inlineStr"/>
      <c r="W15" s="21" t="inlineStr"/>
      <c r="X15" s="21" t="inlineStr"/>
      <c r="Y15" s="21" t="inlineStr"/>
      <c r="Z15" s="21" t="inlineStr"/>
      <c r="AA15" s="21" t="inlineStr"/>
      <c r="AB15" s="21" t="inlineStr"/>
      <c r="AC15" s="21" t="inlineStr"/>
      <c r="AD15" s="21" t="inlineStr"/>
      <c r="AE15" s="21" t="inlineStr"/>
      <c r="AF15" s="21" t="inlineStr"/>
      <c r="AG15" s="21" t="inlineStr"/>
      <c r="AH15" s="21" t="inlineStr"/>
      <c r="AI15" s="21" t="inlineStr"/>
      <c r="AJ15" s="22">
        <f>IF($A15=1,SUMPRODUCT(($E$6:$AI$6&lt;=$B$3)*(E15:AI15)),"")</f>
        <v/>
      </c>
    </row>
    <row r="16">
      <c r="A16" s="19">
        <f>Setup!D18</f>
        <v/>
      </c>
      <c r="B16" s="20">
        <f>Setup!A18</f>
        <v/>
      </c>
      <c r="C16" s="19">
        <f>Setup!B18</f>
        <v/>
      </c>
      <c r="D16" s="19">
        <f>Setup!E18</f>
        <v/>
      </c>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2">
        <f>IF($A16=1,SUMPRODUCT(($E$6:$AI$6&lt;=$B$3)*(E16:AI16)),"")</f>
        <v/>
      </c>
    </row>
    <row r="17">
      <c r="A17" s="19">
        <f>Setup!D19</f>
        <v/>
      </c>
      <c r="B17" s="20">
        <f>Setup!A19</f>
        <v/>
      </c>
      <c r="C17" s="19">
        <f>Setup!B19</f>
        <v/>
      </c>
      <c r="D17" s="19">
        <f>Setup!E19</f>
        <v/>
      </c>
      <c r="E17" s="21" t="inlineStr"/>
      <c r="F17" s="21" t="inlineStr"/>
      <c r="G17" s="21" t="inlineStr"/>
      <c r="H17" s="21" t="inlineStr"/>
      <c r="I17" s="21" t="inlineStr"/>
      <c r="J17" s="21" t="inlineStr"/>
      <c r="K17" s="21" t="inlineStr"/>
      <c r="L17" s="21" t="inlineStr"/>
      <c r="M17" s="21" t="inlineStr"/>
      <c r="N17" s="21" t="inlineStr"/>
      <c r="O17" s="21" t="inlineStr"/>
      <c r="P17" s="21" t="inlineStr"/>
      <c r="Q17" s="21" t="inlineStr"/>
      <c r="R17" s="21" t="inlineStr"/>
      <c r="S17" s="21" t="inlineStr"/>
      <c r="T17" s="21" t="inlineStr"/>
      <c r="U17" s="21" t="inlineStr"/>
      <c r="V17" s="21" t="inlineStr"/>
      <c r="W17" s="21" t="inlineStr"/>
      <c r="X17" s="21" t="inlineStr"/>
      <c r="Y17" s="21" t="inlineStr"/>
      <c r="Z17" s="21" t="inlineStr"/>
      <c r="AA17" s="21" t="inlineStr"/>
      <c r="AB17" s="21" t="inlineStr"/>
      <c r="AC17" s="21" t="inlineStr"/>
      <c r="AD17" s="21" t="inlineStr"/>
      <c r="AE17" s="21" t="inlineStr"/>
      <c r="AF17" s="21" t="inlineStr"/>
      <c r="AG17" s="21" t="inlineStr"/>
      <c r="AH17" s="21" t="inlineStr"/>
      <c r="AI17" s="21" t="inlineStr"/>
      <c r="AJ17" s="22">
        <f>IF($A17=1,SUMPRODUCT(($E$6:$AI$6&lt;=$B$3)*(E17:AI17)),"")</f>
        <v/>
      </c>
    </row>
    <row r="18">
      <c r="A18" s="19">
        <f>Setup!D20</f>
        <v/>
      </c>
      <c r="B18" s="20">
        <f>Setup!A20</f>
        <v/>
      </c>
      <c r="C18" s="19">
        <f>Setup!B20</f>
        <v/>
      </c>
      <c r="D18" s="19">
        <f>Setup!E20</f>
        <v/>
      </c>
      <c r="E18" s="21" t="inlineStr"/>
      <c r="F18" s="21" t="inlineStr"/>
      <c r="G18" s="21" t="inlineStr"/>
      <c r="H18" s="21" t="inlineStr"/>
      <c r="I18" s="21" t="inlineStr"/>
      <c r="J18" s="21" t="inlineStr"/>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2">
        <f>IF($A18=1,SUMPRODUCT(($E$6:$AI$6&lt;=$B$3)*(E18:AI18)),"")</f>
        <v/>
      </c>
    </row>
    <row r="19">
      <c r="A19" s="19">
        <f>Setup!D21</f>
        <v/>
      </c>
      <c r="B19" s="20">
        <f>Setup!A21</f>
        <v/>
      </c>
      <c r="C19" s="19">
        <f>Setup!B21</f>
        <v/>
      </c>
      <c r="D19" s="19">
        <f>Setup!E21</f>
        <v/>
      </c>
      <c r="E19" s="21" t="inlineStr"/>
      <c r="F19" s="21" t="inlineStr"/>
      <c r="G19" s="21" t="inlineStr"/>
      <c r="H19" s="21" t="inlineStr"/>
      <c r="I19" s="21" t="inlineStr"/>
      <c r="J19" s="21" t="inlineStr"/>
      <c r="K19" s="21" t="inlineStr"/>
      <c r="L19" s="21" t="inlineStr"/>
      <c r="M19" s="21" t="inlineStr"/>
      <c r="N19" s="21" t="inlineStr"/>
      <c r="O19" s="21" t="inlineStr"/>
      <c r="P19" s="21" t="inlineStr"/>
      <c r="Q19" s="21" t="inlineStr"/>
      <c r="R19" s="21" t="inlineStr"/>
      <c r="S19" s="21" t="inlineStr"/>
      <c r="T19" s="21" t="inlineStr"/>
      <c r="U19" s="21" t="inlineStr"/>
      <c r="V19" s="21" t="inlineStr"/>
      <c r="W19" s="21" t="inlineStr"/>
      <c r="X19" s="21" t="inlineStr"/>
      <c r="Y19" s="21" t="inlineStr"/>
      <c r="Z19" s="21" t="inlineStr"/>
      <c r="AA19" s="21" t="inlineStr"/>
      <c r="AB19" s="21" t="inlineStr"/>
      <c r="AC19" s="21" t="inlineStr"/>
      <c r="AD19" s="21" t="inlineStr"/>
      <c r="AE19" s="21" t="inlineStr"/>
      <c r="AF19" s="21" t="inlineStr"/>
      <c r="AG19" s="21" t="inlineStr"/>
      <c r="AH19" s="21" t="inlineStr"/>
      <c r="AI19" s="21" t="inlineStr"/>
      <c r="AJ19" s="22">
        <f>IF($A19=1,SUMPRODUCT(($E$6:$AI$6&lt;=$B$3)*(E19:AI19)),"")</f>
        <v/>
      </c>
    </row>
    <row r="20">
      <c r="A20" s="19">
        <f>Setup!D22</f>
        <v/>
      </c>
      <c r="B20" s="20">
        <f>Setup!A22</f>
        <v/>
      </c>
      <c r="C20" s="19">
        <f>Setup!B22</f>
        <v/>
      </c>
      <c r="D20" s="19">
        <f>Setup!E22</f>
        <v/>
      </c>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2">
        <f>IF($A20=1,SUMPRODUCT(($E$6:$AI$6&lt;=$B$3)*(E20:AI20)),"")</f>
        <v/>
      </c>
    </row>
    <row r="21">
      <c r="A21" s="19">
        <f>Setup!D23</f>
        <v/>
      </c>
      <c r="B21" s="20">
        <f>Setup!A23</f>
        <v/>
      </c>
      <c r="C21" s="19">
        <f>Setup!B23</f>
        <v/>
      </c>
      <c r="D21" s="19">
        <f>Setup!E23</f>
        <v/>
      </c>
      <c r="E21" s="21" t="inlineStr"/>
      <c r="F21" s="21" t="inlineStr"/>
      <c r="G21" s="21" t="inlineStr"/>
      <c r="H21" s="21" t="inlineStr"/>
      <c r="I21" s="21" t="inlineStr"/>
      <c r="J21" s="21" t="inlineStr"/>
      <c r="K21" s="21" t="inlineStr"/>
      <c r="L21" s="21" t="inlineStr"/>
      <c r="M21" s="21" t="inlineStr"/>
      <c r="N21" s="21" t="inlineStr"/>
      <c r="O21" s="21" t="inlineStr"/>
      <c r="P21" s="21" t="inlineStr"/>
      <c r="Q21" s="21" t="inlineStr"/>
      <c r="R21" s="21" t="inlineStr"/>
      <c r="S21" s="21" t="inlineStr"/>
      <c r="T21" s="21" t="inlineStr"/>
      <c r="U21" s="21" t="inlineStr"/>
      <c r="V21" s="21" t="inlineStr"/>
      <c r="W21" s="21" t="inlineStr"/>
      <c r="X21" s="21" t="inlineStr"/>
      <c r="Y21" s="21" t="inlineStr"/>
      <c r="Z21" s="21" t="inlineStr"/>
      <c r="AA21" s="21" t="inlineStr"/>
      <c r="AB21" s="21" t="inlineStr"/>
      <c r="AC21" s="21" t="inlineStr"/>
      <c r="AD21" s="21" t="inlineStr"/>
      <c r="AE21" s="21" t="inlineStr"/>
      <c r="AF21" s="21" t="inlineStr"/>
      <c r="AG21" s="21" t="inlineStr"/>
      <c r="AH21" s="21" t="inlineStr"/>
      <c r="AI21" s="21" t="inlineStr"/>
      <c r="AJ21" s="22">
        <f>IF($A21=1,SUMPRODUCT(($E$6:$AI$6&lt;=$B$3)*(E21:AI21)),"")</f>
        <v/>
      </c>
    </row>
    <row r="22">
      <c r="A22" s="19">
        <f>Setup!D24</f>
        <v/>
      </c>
      <c r="B22" s="20">
        <f>Setup!A24</f>
        <v/>
      </c>
      <c r="C22" s="19">
        <f>Setup!B24</f>
        <v/>
      </c>
      <c r="D22" s="19">
        <f>Setup!E24</f>
        <v/>
      </c>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c r="Y22" s="21" t="inlineStr"/>
      <c r="Z22" s="21" t="inlineStr"/>
      <c r="AA22" s="21" t="inlineStr"/>
      <c r="AB22" s="21" t="inlineStr"/>
      <c r="AC22" s="21" t="inlineStr"/>
      <c r="AD22" s="21" t="inlineStr"/>
      <c r="AE22" s="21" t="inlineStr"/>
      <c r="AF22" s="21" t="inlineStr"/>
      <c r="AG22" s="21" t="inlineStr"/>
      <c r="AH22" s="21" t="inlineStr"/>
      <c r="AI22" s="21" t="inlineStr"/>
      <c r="AJ22" s="22">
        <f>IF($A22=1,SUMPRODUCT(($E$6:$AI$6&lt;=$B$3)*(E22:AI22)),"")</f>
        <v/>
      </c>
    </row>
    <row r="23">
      <c r="A23" s="19">
        <f>Setup!D25</f>
        <v/>
      </c>
      <c r="B23" s="20">
        <f>Setup!A25</f>
        <v/>
      </c>
      <c r="C23" s="19">
        <f>Setup!B25</f>
        <v/>
      </c>
      <c r="D23" s="19">
        <f>Setup!E25</f>
        <v/>
      </c>
      <c r="E23" s="21" t="inlineStr"/>
      <c r="F23" s="21" t="inlineStr"/>
      <c r="G23" s="21" t="inlineStr"/>
      <c r="H23" s="21" t="inlineStr"/>
      <c r="I23" s="21" t="inlineStr"/>
      <c r="J23" s="21" t="inlineStr"/>
      <c r="K23" s="21" t="inlineStr"/>
      <c r="L23" s="21" t="inlineStr"/>
      <c r="M23" s="21" t="inlineStr"/>
      <c r="N23" s="21" t="inlineStr"/>
      <c r="O23" s="21" t="inlineStr"/>
      <c r="P23" s="21" t="inlineStr"/>
      <c r="Q23" s="21" t="inlineStr"/>
      <c r="R23" s="21" t="inlineStr"/>
      <c r="S23" s="21" t="inlineStr"/>
      <c r="T23" s="21" t="inlineStr"/>
      <c r="U23" s="21" t="inlineStr"/>
      <c r="V23" s="21" t="inlineStr"/>
      <c r="W23" s="21" t="inlineStr"/>
      <c r="X23" s="21" t="inlineStr"/>
      <c r="Y23" s="21" t="inlineStr"/>
      <c r="Z23" s="21" t="inlineStr"/>
      <c r="AA23" s="21" t="inlineStr"/>
      <c r="AB23" s="21" t="inlineStr"/>
      <c r="AC23" s="21" t="inlineStr"/>
      <c r="AD23" s="21" t="inlineStr"/>
      <c r="AE23" s="21" t="inlineStr"/>
      <c r="AF23" s="21" t="inlineStr"/>
      <c r="AG23" s="21" t="inlineStr"/>
      <c r="AH23" s="21" t="inlineStr"/>
      <c r="AI23" s="21" t="inlineStr"/>
      <c r="AJ23" s="22">
        <f>IF($A23=1,SUMPRODUCT(($E$6:$AI$6&lt;=$B$3)*(E23:AI23)),"")</f>
        <v/>
      </c>
    </row>
    <row r="24">
      <c r="A24" s="19">
        <f>Setup!D26</f>
        <v/>
      </c>
      <c r="B24" s="20">
        <f>Setup!A26</f>
        <v/>
      </c>
      <c r="C24" s="19">
        <f>Setup!B26</f>
        <v/>
      </c>
      <c r="D24" s="19">
        <f>Setup!E26</f>
        <v/>
      </c>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c r="Y24" s="21" t="inlineStr"/>
      <c r="Z24" s="21" t="inlineStr"/>
      <c r="AA24" s="21" t="inlineStr"/>
      <c r="AB24" s="21" t="inlineStr"/>
      <c r="AC24" s="21" t="inlineStr"/>
      <c r="AD24" s="21" t="inlineStr"/>
      <c r="AE24" s="21" t="inlineStr"/>
      <c r="AF24" s="21" t="inlineStr"/>
      <c r="AG24" s="21" t="inlineStr"/>
      <c r="AH24" s="21" t="inlineStr"/>
      <c r="AI24" s="21" t="inlineStr"/>
      <c r="AJ24" s="22">
        <f>IF($A24=1,SUMPRODUCT(($E$6:$AI$6&lt;=$B$3)*(E24:AI24)),"")</f>
        <v/>
      </c>
    </row>
    <row r="25">
      <c r="A25" s="19">
        <f>Setup!D27</f>
        <v/>
      </c>
      <c r="B25" s="20">
        <f>Setup!A27</f>
        <v/>
      </c>
      <c r="C25" s="19">
        <f>Setup!B27</f>
        <v/>
      </c>
      <c r="D25" s="19">
        <f>Setup!E27</f>
        <v/>
      </c>
      <c r="E25" s="21" t="inlineStr"/>
      <c r="F25" s="21" t="inlineStr"/>
      <c r="G25" s="21" t="inlineStr"/>
      <c r="H25" s="21" t="inlineStr"/>
      <c r="I25" s="21" t="inlineStr"/>
      <c r="J25" s="21" t="inlineStr"/>
      <c r="K25" s="21" t="inlineStr"/>
      <c r="L25" s="21" t="inlineStr"/>
      <c r="M25" s="21" t="inlineStr"/>
      <c r="N25" s="21" t="inlineStr"/>
      <c r="O25" s="21" t="inlineStr"/>
      <c r="P25" s="21" t="inlineStr"/>
      <c r="Q25" s="21" t="inlineStr"/>
      <c r="R25" s="21" t="inlineStr"/>
      <c r="S25" s="21" t="inlineStr"/>
      <c r="T25" s="21" t="inlineStr"/>
      <c r="U25" s="21" t="inlineStr"/>
      <c r="V25" s="21" t="inlineStr"/>
      <c r="W25" s="21" t="inlineStr"/>
      <c r="X25" s="21" t="inlineStr"/>
      <c r="Y25" s="21" t="inlineStr"/>
      <c r="Z25" s="21" t="inlineStr"/>
      <c r="AA25" s="21" t="inlineStr"/>
      <c r="AB25" s="21" t="inlineStr"/>
      <c r="AC25" s="21" t="inlineStr"/>
      <c r="AD25" s="21" t="inlineStr"/>
      <c r="AE25" s="21" t="inlineStr"/>
      <c r="AF25" s="21" t="inlineStr"/>
      <c r="AG25" s="21" t="inlineStr"/>
      <c r="AH25" s="21" t="inlineStr"/>
      <c r="AI25" s="21" t="inlineStr"/>
      <c r="AJ25" s="22">
        <f>IF($A25=1,SUMPRODUCT(($E$6:$AI$6&lt;=$B$3)*(E25:AI25)),"")</f>
        <v/>
      </c>
    </row>
    <row r="26">
      <c r="A26" s="19">
        <f>Setup!D28</f>
        <v/>
      </c>
      <c r="B26" s="20">
        <f>Setup!A28</f>
        <v/>
      </c>
      <c r="C26" s="19">
        <f>Setup!B28</f>
        <v/>
      </c>
      <c r="D26" s="19">
        <f>Setup!E28</f>
        <v/>
      </c>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2">
        <f>IF($A26=1,SUMPRODUCT(($E$6:$AI$6&lt;=$B$3)*(E26:AI26)),"")</f>
        <v/>
      </c>
    </row>
    <row r="29">
      <c r="A29" s="23" t="inlineStr">
        <is>
          <t>Daily summary</t>
        </is>
      </c>
    </row>
    <row r="30">
      <c r="A30" s="8" t="inlineStr">
        <is>
          <t>Good habits done</t>
        </is>
      </c>
      <c r="E30" s="19">
        <f>SUMPRODUCT(($A$7:$A$26=1)*($C$7:$C$26="Good")*(E7:E26))</f>
        <v/>
      </c>
      <c r="F30" s="19">
        <f>SUMPRODUCT(($A$7:$A$26=1)*($C$7:$C$26="Good")*(F7:F26))</f>
        <v/>
      </c>
      <c r="G30" s="19">
        <f>SUMPRODUCT(($A$7:$A$26=1)*($C$7:$C$26="Good")*(G7:G26))</f>
        <v/>
      </c>
      <c r="H30" s="19">
        <f>SUMPRODUCT(($A$7:$A$26=1)*($C$7:$C$26="Good")*(H7:H26))</f>
        <v/>
      </c>
      <c r="I30" s="19">
        <f>SUMPRODUCT(($A$7:$A$26=1)*($C$7:$C$26="Good")*(I7:I26))</f>
        <v/>
      </c>
      <c r="J30" s="19">
        <f>SUMPRODUCT(($A$7:$A$26=1)*($C$7:$C$26="Good")*(J7:J26))</f>
        <v/>
      </c>
      <c r="K30" s="19">
        <f>SUMPRODUCT(($A$7:$A$26=1)*($C$7:$C$26="Good")*(K7:K26))</f>
        <v/>
      </c>
      <c r="L30" s="19">
        <f>SUMPRODUCT(($A$7:$A$26=1)*($C$7:$C$26="Good")*(L7:L26))</f>
        <v/>
      </c>
      <c r="M30" s="19">
        <f>SUMPRODUCT(($A$7:$A$26=1)*($C$7:$C$26="Good")*(M7:M26))</f>
        <v/>
      </c>
      <c r="N30" s="19">
        <f>SUMPRODUCT(($A$7:$A$26=1)*($C$7:$C$26="Good")*(N7:N26))</f>
        <v/>
      </c>
      <c r="O30" s="19">
        <f>SUMPRODUCT(($A$7:$A$26=1)*($C$7:$C$26="Good")*(O7:O26))</f>
        <v/>
      </c>
      <c r="P30" s="19">
        <f>SUMPRODUCT(($A$7:$A$26=1)*($C$7:$C$26="Good")*(P7:P26))</f>
        <v/>
      </c>
      <c r="Q30" s="19">
        <f>SUMPRODUCT(($A$7:$A$26=1)*($C$7:$C$26="Good")*(Q7:Q26))</f>
        <v/>
      </c>
      <c r="R30" s="19">
        <f>SUMPRODUCT(($A$7:$A$26=1)*($C$7:$C$26="Good")*(R7:R26))</f>
        <v/>
      </c>
      <c r="S30" s="19">
        <f>SUMPRODUCT(($A$7:$A$26=1)*($C$7:$C$26="Good")*(S7:S26))</f>
        <v/>
      </c>
      <c r="T30" s="19">
        <f>SUMPRODUCT(($A$7:$A$26=1)*($C$7:$C$26="Good")*(T7:T26))</f>
        <v/>
      </c>
      <c r="U30" s="19">
        <f>SUMPRODUCT(($A$7:$A$26=1)*($C$7:$C$26="Good")*(U7:U26))</f>
        <v/>
      </c>
      <c r="V30" s="19">
        <f>SUMPRODUCT(($A$7:$A$26=1)*($C$7:$C$26="Good")*(V7:V26))</f>
        <v/>
      </c>
      <c r="W30" s="19">
        <f>SUMPRODUCT(($A$7:$A$26=1)*($C$7:$C$26="Good")*(W7:W26))</f>
        <v/>
      </c>
      <c r="X30" s="19">
        <f>SUMPRODUCT(($A$7:$A$26=1)*($C$7:$C$26="Good")*(X7:X26))</f>
        <v/>
      </c>
      <c r="Y30" s="19">
        <f>SUMPRODUCT(($A$7:$A$26=1)*($C$7:$C$26="Good")*(Y7:Y26))</f>
        <v/>
      </c>
      <c r="Z30" s="19">
        <f>SUMPRODUCT(($A$7:$A$26=1)*($C$7:$C$26="Good")*(Z7:Z26))</f>
        <v/>
      </c>
      <c r="AA30" s="19">
        <f>SUMPRODUCT(($A$7:$A$26=1)*($C$7:$C$26="Good")*(AA7:AA26))</f>
        <v/>
      </c>
      <c r="AB30" s="19">
        <f>SUMPRODUCT(($A$7:$A$26=1)*($C$7:$C$26="Good")*(AB7:AB26))</f>
        <v/>
      </c>
      <c r="AC30" s="19">
        <f>SUMPRODUCT(($A$7:$A$26=1)*($C$7:$C$26="Good")*(AC7:AC26))</f>
        <v/>
      </c>
      <c r="AD30" s="19">
        <f>SUMPRODUCT(($A$7:$A$26=1)*($C$7:$C$26="Good")*(AD7:AD26))</f>
        <v/>
      </c>
      <c r="AE30" s="19">
        <f>SUMPRODUCT(($A$7:$A$26=1)*($C$7:$C$26="Good")*(AE7:AE26))</f>
        <v/>
      </c>
      <c r="AF30" s="19">
        <f>SUMPRODUCT(($A$7:$A$26=1)*($C$7:$C$26="Good")*(AF7:AF26))</f>
        <v/>
      </c>
      <c r="AG30" s="19">
        <f>SUMPRODUCT(($A$7:$A$26=1)*($C$7:$C$26="Good")*(AG7:AG26))</f>
        <v/>
      </c>
      <c r="AH30" s="19">
        <f>SUMPRODUCT(($A$7:$A$26=1)*($C$7:$C$26="Good")*(AH7:AH26))</f>
        <v/>
      </c>
      <c r="AI30" s="19">
        <f>SUMPRODUCT(($A$7:$A$26=1)*($C$7:$C$26="Good")*(AI7:AI26))</f>
        <v/>
      </c>
      <c r="AL30" s="24" t="inlineStr">
        <is>
          <t>Monthly totals</t>
        </is>
      </c>
    </row>
    <row r="31">
      <c r="A31" s="8" t="inlineStr">
        <is>
          <t>Bad habits happened</t>
        </is>
      </c>
      <c r="E31" s="19">
        <f>SUMPRODUCT(($A$7:$A$26=1)*($C$7:$C$26="Bad")*(E7:E26))</f>
        <v/>
      </c>
      <c r="F31" s="19">
        <f>SUMPRODUCT(($A$7:$A$26=1)*($C$7:$C$26="Bad")*(F7:F26))</f>
        <v/>
      </c>
      <c r="G31" s="19">
        <f>SUMPRODUCT(($A$7:$A$26=1)*($C$7:$C$26="Bad")*(G7:G26))</f>
        <v/>
      </c>
      <c r="H31" s="19">
        <f>SUMPRODUCT(($A$7:$A$26=1)*($C$7:$C$26="Bad")*(H7:H26))</f>
        <v/>
      </c>
      <c r="I31" s="19">
        <f>SUMPRODUCT(($A$7:$A$26=1)*($C$7:$C$26="Bad")*(I7:I26))</f>
        <v/>
      </c>
      <c r="J31" s="19">
        <f>SUMPRODUCT(($A$7:$A$26=1)*($C$7:$C$26="Bad")*(J7:J26))</f>
        <v/>
      </c>
      <c r="K31" s="19">
        <f>SUMPRODUCT(($A$7:$A$26=1)*($C$7:$C$26="Bad")*(K7:K26))</f>
        <v/>
      </c>
      <c r="L31" s="19">
        <f>SUMPRODUCT(($A$7:$A$26=1)*($C$7:$C$26="Bad")*(L7:L26))</f>
        <v/>
      </c>
      <c r="M31" s="19">
        <f>SUMPRODUCT(($A$7:$A$26=1)*($C$7:$C$26="Bad")*(M7:M26))</f>
        <v/>
      </c>
      <c r="N31" s="19">
        <f>SUMPRODUCT(($A$7:$A$26=1)*($C$7:$C$26="Bad")*(N7:N26))</f>
        <v/>
      </c>
      <c r="O31" s="19">
        <f>SUMPRODUCT(($A$7:$A$26=1)*($C$7:$C$26="Bad")*(O7:O26))</f>
        <v/>
      </c>
      <c r="P31" s="19">
        <f>SUMPRODUCT(($A$7:$A$26=1)*($C$7:$C$26="Bad")*(P7:P26))</f>
        <v/>
      </c>
      <c r="Q31" s="19">
        <f>SUMPRODUCT(($A$7:$A$26=1)*($C$7:$C$26="Bad")*(Q7:Q26))</f>
        <v/>
      </c>
      <c r="R31" s="19">
        <f>SUMPRODUCT(($A$7:$A$26=1)*($C$7:$C$26="Bad")*(R7:R26))</f>
        <v/>
      </c>
      <c r="S31" s="19">
        <f>SUMPRODUCT(($A$7:$A$26=1)*($C$7:$C$26="Bad")*(S7:S26))</f>
        <v/>
      </c>
      <c r="T31" s="19">
        <f>SUMPRODUCT(($A$7:$A$26=1)*($C$7:$C$26="Bad")*(T7:T26))</f>
        <v/>
      </c>
      <c r="U31" s="19">
        <f>SUMPRODUCT(($A$7:$A$26=1)*($C$7:$C$26="Bad")*(U7:U26))</f>
        <v/>
      </c>
      <c r="V31" s="19">
        <f>SUMPRODUCT(($A$7:$A$26=1)*($C$7:$C$26="Bad")*(V7:V26))</f>
        <v/>
      </c>
      <c r="W31" s="19">
        <f>SUMPRODUCT(($A$7:$A$26=1)*($C$7:$C$26="Bad")*(W7:W26))</f>
        <v/>
      </c>
      <c r="X31" s="19">
        <f>SUMPRODUCT(($A$7:$A$26=1)*($C$7:$C$26="Bad")*(X7:X26))</f>
        <v/>
      </c>
      <c r="Y31" s="19">
        <f>SUMPRODUCT(($A$7:$A$26=1)*($C$7:$C$26="Bad")*(Y7:Y26))</f>
        <v/>
      </c>
      <c r="Z31" s="19">
        <f>SUMPRODUCT(($A$7:$A$26=1)*($C$7:$C$26="Bad")*(Z7:Z26))</f>
        <v/>
      </c>
      <c r="AA31" s="19">
        <f>SUMPRODUCT(($A$7:$A$26=1)*($C$7:$C$26="Bad")*(AA7:AA26))</f>
        <v/>
      </c>
      <c r="AB31" s="19">
        <f>SUMPRODUCT(($A$7:$A$26=1)*($C$7:$C$26="Bad")*(AB7:AB26))</f>
        <v/>
      </c>
      <c r="AC31" s="19">
        <f>SUMPRODUCT(($A$7:$A$26=1)*($C$7:$C$26="Bad")*(AC7:AC26))</f>
        <v/>
      </c>
      <c r="AD31" s="19">
        <f>SUMPRODUCT(($A$7:$A$26=1)*($C$7:$C$26="Bad")*(AD7:AD26))</f>
        <v/>
      </c>
      <c r="AE31" s="19">
        <f>SUMPRODUCT(($A$7:$A$26=1)*($C$7:$C$26="Bad")*(AE7:AE26))</f>
        <v/>
      </c>
      <c r="AF31" s="19">
        <f>SUMPRODUCT(($A$7:$A$26=1)*($C$7:$C$26="Bad")*(AF7:AF26))</f>
        <v/>
      </c>
      <c r="AG31" s="19">
        <f>SUMPRODUCT(($A$7:$A$26=1)*($C$7:$C$26="Bad")*(AG7:AG26))</f>
        <v/>
      </c>
      <c r="AH31" s="19">
        <f>SUMPRODUCT(($A$7:$A$26=1)*($C$7:$C$26="Bad")*(AH7:AH26))</f>
        <v/>
      </c>
      <c r="AI31" s="19">
        <f>SUMPRODUCT(($A$7:$A$26=1)*($C$7:$C$26="Bad")*(AI7:AI26))</f>
        <v/>
      </c>
      <c r="AL31" s="10" t="inlineStr">
        <is>
          <t>Good done</t>
        </is>
      </c>
      <c r="AM31" s="25">
        <f>SUMPRODUCT(($E$6:$AI$6&lt;=$B$3)*(E30:AI30))</f>
        <v/>
      </c>
    </row>
    <row r="32">
      <c r="A32" s="8" t="inlineStr">
        <is>
          <t>Net score</t>
        </is>
      </c>
      <c r="E32" s="19">
        <f>SUMPRODUCT(($A$7:$A$26=1)*($D$7:$D$26)*(E7:E26))</f>
        <v/>
      </c>
      <c r="F32" s="19">
        <f>SUMPRODUCT(($A$7:$A$26=1)*($D$7:$D$26)*(F7:F26))</f>
        <v/>
      </c>
      <c r="G32" s="19">
        <f>SUMPRODUCT(($A$7:$A$26=1)*($D$7:$D$26)*(G7:G26))</f>
        <v/>
      </c>
      <c r="H32" s="19">
        <f>SUMPRODUCT(($A$7:$A$26=1)*($D$7:$D$26)*(H7:H26))</f>
        <v/>
      </c>
      <c r="I32" s="19">
        <f>SUMPRODUCT(($A$7:$A$26=1)*($D$7:$D$26)*(I7:I26))</f>
        <v/>
      </c>
      <c r="J32" s="19">
        <f>SUMPRODUCT(($A$7:$A$26=1)*($D$7:$D$26)*(J7:J26))</f>
        <v/>
      </c>
      <c r="K32" s="19">
        <f>SUMPRODUCT(($A$7:$A$26=1)*($D$7:$D$26)*(K7:K26))</f>
        <v/>
      </c>
      <c r="L32" s="19">
        <f>SUMPRODUCT(($A$7:$A$26=1)*($D$7:$D$26)*(L7:L26))</f>
        <v/>
      </c>
      <c r="M32" s="19">
        <f>SUMPRODUCT(($A$7:$A$26=1)*($D$7:$D$26)*(M7:M26))</f>
        <v/>
      </c>
      <c r="N32" s="19">
        <f>SUMPRODUCT(($A$7:$A$26=1)*($D$7:$D$26)*(N7:N26))</f>
        <v/>
      </c>
      <c r="O32" s="19">
        <f>SUMPRODUCT(($A$7:$A$26=1)*($D$7:$D$26)*(O7:O26))</f>
        <v/>
      </c>
      <c r="P32" s="19">
        <f>SUMPRODUCT(($A$7:$A$26=1)*($D$7:$D$26)*(P7:P26))</f>
        <v/>
      </c>
      <c r="Q32" s="19">
        <f>SUMPRODUCT(($A$7:$A$26=1)*($D$7:$D$26)*(Q7:Q26))</f>
        <v/>
      </c>
      <c r="R32" s="19">
        <f>SUMPRODUCT(($A$7:$A$26=1)*($D$7:$D$26)*(R7:R26))</f>
        <v/>
      </c>
      <c r="S32" s="19">
        <f>SUMPRODUCT(($A$7:$A$26=1)*($D$7:$D$26)*(S7:S26))</f>
        <v/>
      </c>
      <c r="T32" s="19">
        <f>SUMPRODUCT(($A$7:$A$26=1)*($D$7:$D$26)*(T7:T26))</f>
        <v/>
      </c>
      <c r="U32" s="19">
        <f>SUMPRODUCT(($A$7:$A$26=1)*($D$7:$D$26)*(U7:U26))</f>
        <v/>
      </c>
      <c r="V32" s="19">
        <f>SUMPRODUCT(($A$7:$A$26=1)*($D$7:$D$26)*(V7:V26))</f>
        <v/>
      </c>
      <c r="W32" s="19">
        <f>SUMPRODUCT(($A$7:$A$26=1)*($D$7:$D$26)*(W7:W26))</f>
        <v/>
      </c>
      <c r="X32" s="19">
        <f>SUMPRODUCT(($A$7:$A$26=1)*($D$7:$D$26)*(X7:X26))</f>
        <v/>
      </c>
      <c r="Y32" s="19">
        <f>SUMPRODUCT(($A$7:$A$26=1)*($D$7:$D$26)*(Y7:Y26))</f>
        <v/>
      </c>
      <c r="Z32" s="19">
        <f>SUMPRODUCT(($A$7:$A$26=1)*($D$7:$D$26)*(Z7:Z26))</f>
        <v/>
      </c>
      <c r="AA32" s="19">
        <f>SUMPRODUCT(($A$7:$A$26=1)*($D$7:$D$26)*(AA7:AA26))</f>
        <v/>
      </c>
      <c r="AB32" s="19">
        <f>SUMPRODUCT(($A$7:$A$26=1)*($D$7:$D$26)*(AB7:AB26))</f>
        <v/>
      </c>
      <c r="AC32" s="19">
        <f>SUMPRODUCT(($A$7:$A$26=1)*($D$7:$D$26)*(AC7:AC26))</f>
        <v/>
      </c>
      <c r="AD32" s="19">
        <f>SUMPRODUCT(($A$7:$A$26=1)*($D$7:$D$26)*(AD7:AD26))</f>
        <v/>
      </c>
      <c r="AE32" s="19">
        <f>SUMPRODUCT(($A$7:$A$26=1)*($D$7:$D$26)*(AE7:AE26))</f>
        <v/>
      </c>
      <c r="AF32" s="19">
        <f>SUMPRODUCT(($A$7:$A$26=1)*($D$7:$D$26)*(AF7:AF26))</f>
        <v/>
      </c>
      <c r="AG32" s="19">
        <f>SUMPRODUCT(($A$7:$A$26=1)*($D$7:$D$26)*(AG7:AG26))</f>
        <v/>
      </c>
      <c r="AH32" s="19">
        <f>SUMPRODUCT(($A$7:$A$26=1)*($D$7:$D$26)*(AH7:AH26))</f>
        <v/>
      </c>
      <c r="AI32" s="19">
        <f>SUMPRODUCT(($A$7:$A$26=1)*($D$7:$D$26)*(AI7:AI26))</f>
        <v/>
      </c>
      <c r="AL32" s="10" t="inlineStr">
        <is>
          <t>Bad happened</t>
        </is>
      </c>
      <c r="AM32" s="25">
        <f>SUMPRODUCT(($E$6:$AI$6&lt;=$B$3)*(E31:AI31))</f>
        <v/>
      </c>
    </row>
    <row r="33">
      <c r="A33" s="8" t="inlineStr">
        <is>
          <t>Completion % (Good only)</t>
        </is>
      </c>
      <c r="E33" s="26">
        <f>IF(SUMPRODUCT(($A$7:$A$26=1)*($C$7:$C$26="Good"))=0,"",SUMPRODUCT(($A$7:$A$26=1)*($C$7:$C$26="Good")*(E7:E26))/SUMPRODUCT(($A$7:$A$26=1)*($C$7:$C$26="Good")))</f>
        <v/>
      </c>
      <c r="F33" s="26">
        <f>IF(SUMPRODUCT(($A$7:$A$26=1)*($C$7:$C$26="Good"))=0,"",SUMPRODUCT(($A$7:$A$26=1)*($C$7:$C$26="Good")*(F7:F26))/SUMPRODUCT(($A$7:$A$26=1)*($C$7:$C$26="Good")))</f>
        <v/>
      </c>
      <c r="G33" s="26">
        <f>IF(SUMPRODUCT(($A$7:$A$26=1)*($C$7:$C$26="Good"))=0,"",SUMPRODUCT(($A$7:$A$26=1)*($C$7:$C$26="Good")*(G7:G26))/SUMPRODUCT(($A$7:$A$26=1)*($C$7:$C$26="Good")))</f>
        <v/>
      </c>
      <c r="H33" s="26">
        <f>IF(SUMPRODUCT(($A$7:$A$26=1)*($C$7:$C$26="Good"))=0,"",SUMPRODUCT(($A$7:$A$26=1)*($C$7:$C$26="Good")*(H7:H26))/SUMPRODUCT(($A$7:$A$26=1)*($C$7:$C$26="Good")))</f>
        <v/>
      </c>
      <c r="I33" s="26">
        <f>IF(SUMPRODUCT(($A$7:$A$26=1)*($C$7:$C$26="Good"))=0,"",SUMPRODUCT(($A$7:$A$26=1)*($C$7:$C$26="Good")*(I7:I26))/SUMPRODUCT(($A$7:$A$26=1)*($C$7:$C$26="Good")))</f>
        <v/>
      </c>
      <c r="J33" s="26">
        <f>IF(SUMPRODUCT(($A$7:$A$26=1)*($C$7:$C$26="Good"))=0,"",SUMPRODUCT(($A$7:$A$26=1)*($C$7:$C$26="Good")*(J7:J26))/SUMPRODUCT(($A$7:$A$26=1)*($C$7:$C$26="Good")))</f>
        <v/>
      </c>
      <c r="K33" s="26">
        <f>IF(SUMPRODUCT(($A$7:$A$26=1)*($C$7:$C$26="Good"))=0,"",SUMPRODUCT(($A$7:$A$26=1)*($C$7:$C$26="Good")*(K7:K26))/SUMPRODUCT(($A$7:$A$26=1)*($C$7:$C$26="Good")))</f>
        <v/>
      </c>
      <c r="L33" s="26">
        <f>IF(SUMPRODUCT(($A$7:$A$26=1)*($C$7:$C$26="Good"))=0,"",SUMPRODUCT(($A$7:$A$26=1)*($C$7:$C$26="Good")*(L7:L26))/SUMPRODUCT(($A$7:$A$26=1)*($C$7:$C$26="Good")))</f>
        <v/>
      </c>
      <c r="M33" s="26">
        <f>IF(SUMPRODUCT(($A$7:$A$26=1)*($C$7:$C$26="Good"))=0,"",SUMPRODUCT(($A$7:$A$26=1)*($C$7:$C$26="Good")*(M7:M26))/SUMPRODUCT(($A$7:$A$26=1)*($C$7:$C$26="Good")))</f>
        <v/>
      </c>
      <c r="N33" s="26">
        <f>IF(SUMPRODUCT(($A$7:$A$26=1)*($C$7:$C$26="Good"))=0,"",SUMPRODUCT(($A$7:$A$26=1)*($C$7:$C$26="Good")*(N7:N26))/SUMPRODUCT(($A$7:$A$26=1)*($C$7:$C$26="Good")))</f>
        <v/>
      </c>
      <c r="O33" s="26">
        <f>IF(SUMPRODUCT(($A$7:$A$26=1)*($C$7:$C$26="Good"))=0,"",SUMPRODUCT(($A$7:$A$26=1)*($C$7:$C$26="Good")*(O7:O26))/SUMPRODUCT(($A$7:$A$26=1)*($C$7:$C$26="Good")))</f>
        <v/>
      </c>
      <c r="P33" s="26">
        <f>IF(SUMPRODUCT(($A$7:$A$26=1)*($C$7:$C$26="Good"))=0,"",SUMPRODUCT(($A$7:$A$26=1)*($C$7:$C$26="Good")*(P7:P26))/SUMPRODUCT(($A$7:$A$26=1)*($C$7:$C$26="Good")))</f>
        <v/>
      </c>
      <c r="Q33" s="26">
        <f>IF(SUMPRODUCT(($A$7:$A$26=1)*($C$7:$C$26="Good"))=0,"",SUMPRODUCT(($A$7:$A$26=1)*($C$7:$C$26="Good")*(Q7:Q26))/SUMPRODUCT(($A$7:$A$26=1)*($C$7:$C$26="Good")))</f>
        <v/>
      </c>
      <c r="R33" s="26">
        <f>IF(SUMPRODUCT(($A$7:$A$26=1)*($C$7:$C$26="Good"))=0,"",SUMPRODUCT(($A$7:$A$26=1)*($C$7:$C$26="Good")*(R7:R26))/SUMPRODUCT(($A$7:$A$26=1)*($C$7:$C$26="Good")))</f>
        <v/>
      </c>
      <c r="S33" s="26">
        <f>IF(SUMPRODUCT(($A$7:$A$26=1)*($C$7:$C$26="Good"))=0,"",SUMPRODUCT(($A$7:$A$26=1)*($C$7:$C$26="Good")*(S7:S26))/SUMPRODUCT(($A$7:$A$26=1)*($C$7:$C$26="Good")))</f>
        <v/>
      </c>
      <c r="T33" s="26">
        <f>IF(SUMPRODUCT(($A$7:$A$26=1)*($C$7:$C$26="Good"))=0,"",SUMPRODUCT(($A$7:$A$26=1)*($C$7:$C$26="Good")*(T7:T26))/SUMPRODUCT(($A$7:$A$26=1)*($C$7:$C$26="Good")))</f>
        <v/>
      </c>
      <c r="U33" s="26">
        <f>IF(SUMPRODUCT(($A$7:$A$26=1)*($C$7:$C$26="Good"))=0,"",SUMPRODUCT(($A$7:$A$26=1)*($C$7:$C$26="Good")*(U7:U26))/SUMPRODUCT(($A$7:$A$26=1)*($C$7:$C$26="Good")))</f>
        <v/>
      </c>
      <c r="V33" s="26">
        <f>IF(SUMPRODUCT(($A$7:$A$26=1)*($C$7:$C$26="Good"))=0,"",SUMPRODUCT(($A$7:$A$26=1)*($C$7:$C$26="Good")*(V7:V26))/SUMPRODUCT(($A$7:$A$26=1)*($C$7:$C$26="Good")))</f>
        <v/>
      </c>
      <c r="W33" s="26">
        <f>IF(SUMPRODUCT(($A$7:$A$26=1)*($C$7:$C$26="Good"))=0,"",SUMPRODUCT(($A$7:$A$26=1)*($C$7:$C$26="Good")*(W7:W26))/SUMPRODUCT(($A$7:$A$26=1)*($C$7:$C$26="Good")))</f>
        <v/>
      </c>
      <c r="X33" s="26">
        <f>IF(SUMPRODUCT(($A$7:$A$26=1)*($C$7:$C$26="Good"))=0,"",SUMPRODUCT(($A$7:$A$26=1)*($C$7:$C$26="Good")*(X7:X26))/SUMPRODUCT(($A$7:$A$26=1)*($C$7:$C$26="Good")))</f>
        <v/>
      </c>
      <c r="Y33" s="26">
        <f>IF(SUMPRODUCT(($A$7:$A$26=1)*($C$7:$C$26="Good"))=0,"",SUMPRODUCT(($A$7:$A$26=1)*($C$7:$C$26="Good")*(Y7:Y26))/SUMPRODUCT(($A$7:$A$26=1)*($C$7:$C$26="Good")))</f>
        <v/>
      </c>
      <c r="Z33" s="26">
        <f>IF(SUMPRODUCT(($A$7:$A$26=1)*($C$7:$C$26="Good"))=0,"",SUMPRODUCT(($A$7:$A$26=1)*($C$7:$C$26="Good")*(Z7:Z26))/SUMPRODUCT(($A$7:$A$26=1)*($C$7:$C$26="Good")))</f>
        <v/>
      </c>
      <c r="AA33" s="26">
        <f>IF(SUMPRODUCT(($A$7:$A$26=1)*($C$7:$C$26="Good"))=0,"",SUMPRODUCT(($A$7:$A$26=1)*($C$7:$C$26="Good")*(AA7:AA26))/SUMPRODUCT(($A$7:$A$26=1)*($C$7:$C$26="Good")))</f>
        <v/>
      </c>
      <c r="AB33" s="26">
        <f>IF(SUMPRODUCT(($A$7:$A$26=1)*($C$7:$C$26="Good"))=0,"",SUMPRODUCT(($A$7:$A$26=1)*($C$7:$C$26="Good")*(AB7:AB26))/SUMPRODUCT(($A$7:$A$26=1)*($C$7:$C$26="Good")))</f>
        <v/>
      </c>
      <c r="AC33" s="26">
        <f>IF(SUMPRODUCT(($A$7:$A$26=1)*($C$7:$C$26="Good"))=0,"",SUMPRODUCT(($A$7:$A$26=1)*($C$7:$C$26="Good")*(AC7:AC26))/SUMPRODUCT(($A$7:$A$26=1)*($C$7:$C$26="Good")))</f>
        <v/>
      </c>
      <c r="AD33" s="26">
        <f>IF(SUMPRODUCT(($A$7:$A$26=1)*($C$7:$C$26="Good"))=0,"",SUMPRODUCT(($A$7:$A$26=1)*($C$7:$C$26="Good")*(AD7:AD26))/SUMPRODUCT(($A$7:$A$26=1)*($C$7:$C$26="Good")))</f>
        <v/>
      </c>
      <c r="AE33" s="26">
        <f>IF(SUMPRODUCT(($A$7:$A$26=1)*($C$7:$C$26="Good"))=0,"",SUMPRODUCT(($A$7:$A$26=1)*($C$7:$C$26="Good")*(AE7:AE26))/SUMPRODUCT(($A$7:$A$26=1)*($C$7:$C$26="Good")))</f>
        <v/>
      </c>
      <c r="AF33" s="26">
        <f>IF(SUMPRODUCT(($A$7:$A$26=1)*($C$7:$C$26="Good"))=0,"",SUMPRODUCT(($A$7:$A$26=1)*($C$7:$C$26="Good")*(AF7:AF26))/SUMPRODUCT(($A$7:$A$26=1)*($C$7:$C$26="Good")))</f>
        <v/>
      </c>
      <c r="AG33" s="26">
        <f>IF(SUMPRODUCT(($A$7:$A$26=1)*($C$7:$C$26="Good"))=0,"",SUMPRODUCT(($A$7:$A$26=1)*($C$7:$C$26="Good")*(AG7:AG26))/SUMPRODUCT(($A$7:$A$26=1)*($C$7:$C$26="Good")))</f>
        <v/>
      </c>
      <c r="AH33" s="26">
        <f>IF(SUMPRODUCT(($A$7:$A$26=1)*($C$7:$C$26="Good"))=0,"",SUMPRODUCT(($A$7:$A$26=1)*($C$7:$C$26="Good")*(AH7:AH26))/SUMPRODUCT(($A$7:$A$26=1)*($C$7:$C$26="Good")))</f>
        <v/>
      </c>
      <c r="AI33" s="26">
        <f>IF(SUMPRODUCT(($A$7:$A$26=1)*($C$7:$C$26="Good"))=0,"",SUMPRODUCT(($A$7:$A$26=1)*($C$7:$C$26="Good")*(AI7:AI26))/SUMPRODUCT(($A$7:$A$26=1)*($C$7:$C$26="Good")))</f>
        <v/>
      </c>
      <c r="AL33" s="10" t="inlineStr">
        <is>
          <t>Net score</t>
        </is>
      </c>
      <c r="AM33" s="25">
        <f>SUMPRODUCT(($E$6:$AI$6&lt;=$B$3)*(E32:AI32))</f>
        <v/>
      </c>
    </row>
    <row r="34">
      <c r="AL34" s="10" t="inlineStr">
        <is>
          <t>Avg completion (Good)</t>
        </is>
      </c>
      <c r="AM34" s="27">
        <f>AVERAGEIF($E$6:$AI$6,"&lt;="&amp;$B$3,E33:AI33)</f>
        <v/>
      </c>
    </row>
  </sheetData>
  <mergeCells count="6">
    <mergeCell ref="A31:D31"/>
    <mergeCell ref="A1:AI1"/>
    <mergeCell ref="A30:D30"/>
    <mergeCell ref="A29:D29"/>
    <mergeCell ref="A33:D33"/>
    <mergeCell ref="A32:D32"/>
  </mergeCells>
  <conditionalFormatting sqref="E7:AI26">
    <cfRule type="expression" priority="1" dxfId="0">
      <formula>E7=1</formula>
    </cfRule>
  </conditionalFormatting>
  <conditionalFormatting sqref="E5:E33">
    <cfRule type="expression" priority="2" dxfId="1">
      <formula>E$6&gt;$B$3</formula>
    </cfRule>
  </conditionalFormatting>
  <conditionalFormatting sqref="F5:F33">
    <cfRule type="expression" priority="3" dxfId="1">
      <formula>F$6&gt;$B$3</formula>
    </cfRule>
  </conditionalFormatting>
  <conditionalFormatting sqref="G5:G33">
    <cfRule type="expression" priority="4" dxfId="1">
      <formula>G$6&gt;$B$3</formula>
    </cfRule>
  </conditionalFormatting>
  <conditionalFormatting sqref="H5:H33">
    <cfRule type="expression" priority="5" dxfId="1">
      <formula>H$6&gt;$B$3</formula>
    </cfRule>
  </conditionalFormatting>
  <conditionalFormatting sqref="I5:I33">
    <cfRule type="expression" priority="6" dxfId="1">
      <formula>I$6&gt;$B$3</formula>
    </cfRule>
  </conditionalFormatting>
  <conditionalFormatting sqref="J5:J33">
    <cfRule type="expression" priority="7" dxfId="1">
      <formula>J$6&gt;$B$3</formula>
    </cfRule>
  </conditionalFormatting>
  <conditionalFormatting sqref="K5:K33">
    <cfRule type="expression" priority="8" dxfId="1">
      <formula>K$6&gt;$B$3</formula>
    </cfRule>
  </conditionalFormatting>
  <conditionalFormatting sqref="L5:L33">
    <cfRule type="expression" priority="9" dxfId="1">
      <formula>L$6&gt;$B$3</formula>
    </cfRule>
  </conditionalFormatting>
  <conditionalFormatting sqref="M5:M33">
    <cfRule type="expression" priority="10" dxfId="1">
      <formula>M$6&gt;$B$3</formula>
    </cfRule>
  </conditionalFormatting>
  <conditionalFormatting sqref="N5:N33">
    <cfRule type="expression" priority="11" dxfId="1">
      <formula>N$6&gt;$B$3</formula>
    </cfRule>
  </conditionalFormatting>
  <conditionalFormatting sqref="O5:O33">
    <cfRule type="expression" priority="12" dxfId="1">
      <formula>O$6&gt;$B$3</formula>
    </cfRule>
  </conditionalFormatting>
  <conditionalFormatting sqref="P5:P33">
    <cfRule type="expression" priority="13" dxfId="1">
      <formula>P$6&gt;$B$3</formula>
    </cfRule>
  </conditionalFormatting>
  <conditionalFormatting sqref="Q5:Q33">
    <cfRule type="expression" priority="14" dxfId="1">
      <formula>Q$6&gt;$B$3</formula>
    </cfRule>
  </conditionalFormatting>
  <conditionalFormatting sqref="R5:R33">
    <cfRule type="expression" priority="15" dxfId="1">
      <formula>R$6&gt;$B$3</formula>
    </cfRule>
  </conditionalFormatting>
  <conditionalFormatting sqref="S5:S33">
    <cfRule type="expression" priority="16" dxfId="1">
      <formula>S$6&gt;$B$3</formula>
    </cfRule>
  </conditionalFormatting>
  <conditionalFormatting sqref="T5:T33">
    <cfRule type="expression" priority="17" dxfId="1">
      <formula>T$6&gt;$B$3</formula>
    </cfRule>
  </conditionalFormatting>
  <conditionalFormatting sqref="U5:U33">
    <cfRule type="expression" priority="18" dxfId="1">
      <formula>U$6&gt;$B$3</formula>
    </cfRule>
  </conditionalFormatting>
  <conditionalFormatting sqref="V5:V33">
    <cfRule type="expression" priority="19" dxfId="1">
      <formula>V$6&gt;$B$3</formula>
    </cfRule>
  </conditionalFormatting>
  <conditionalFormatting sqref="W5:W33">
    <cfRule type="expression" priority="20" dxfId="1">
      <formula>W$6&gt;$B$3</formula>
    </cfRule>
  </conditionalFormatting>
  <conditionalFormatting sqref="X5:X33">
    <cfRule type="expression" priority="21" dxfId="1">
      <formula>X$6&gt;$B$3</formula>
    </cfRule>
  </conditionalFormatting>
  <conditionalFormatting sqref="Y5:Y33">
    <cfRule type="expression" priority="22" dxfId="1">
      <formula>Y$6&gt;$B$3</formula>
    </cfRule>
  </conditionalFormatting>
  <conditionalFormatting sqref="Z5:Z33">
    <cfRule type="expression" priority="23" dxfId="1">
      <formula>Z$6&gt;$B$3</formula>
    </cfRule>
  </conditionalFormatting>
  <conditionalFormatting sqref="AA5:AA33">
    <cfRule type="expression" priority="24" dxfId="1">
      <formula>AA$6&gt;$B$3</formula>
    </cfRule>
  </conditionalFormatting>
  <conditionalFormatting sqref="AB5:AB33">
    <cfRule type="expression" priority="25" dxfId="1">
      <formula>AB$6&gt;$B$3</formula>
    </cfRule>
  </conditionalFormatting>
  <conditionalFormatting sqref="AC5:AC33">
    <cfRule type="expression" priority="26" dxfId="1">
      <formula>AC$6&gt;$B$3</formula>
    </cfRule>
  </conditionalFormatting>
  <conditionalFormatting sqref="AD5:AD33">
    <cfRule type="expression" priority="27" dxfId="1">
      <formula>AD$6&gt;$B$3</formula>
    </cfRule>
  </conditionalFormatting>
  <conditionalFormatting sqref="AE5:AE33">
    <cfRule type="expression" priority="28" dxfId="1">
      <formula>AE$6&gt;$B$3</formula>
    </cfRule>
  </conditionalFormatting>
  <conditionalFormatting sqref="AF5:AF33">
    <cfRule type="expression" priority="29" dxfId="1">
      <formula>AF$6&gt;$B$3</formula>
    </cfRule>
  </conditionalFormatting>
  <conditionalFormatting sqref="AG5:AG33">
    <cfRule type="expression" priority="30" dxfId="1">
      <formula>AG$6&gt;$B$3</formula>
    </cfRule>
  </conditionalFormatting>
  <conditionalFormatting sqref="AH5:AH33">
    <cfRule type="expression" priority="31" dxfId="1">
      <formula>AH$6&gt;$B$3</formula>
    </cfRule>
  </conditionalFormatting>
  <conditionalFormatting sqref="AI5:AI33">
    <cfRule type="expression" priority="32" dxfId="1">
      <formula>AI$6&gt;$B$3</formula>
    </cfRule>
  </conditionalFormatting>
  <dataValidations count="1">
    <dataValidation sqref="E7 E8 E9 E10 E11 E12 E13 E14 E15 E16 E17 E18 E19 E20 E21 E22 E23 E24 E25 E26 F7 F8 F9 F10 F11 F12 F13 F14 F15 F16 F17 F18 F19 F20 F21 F22 F23 F24 F25 F26 G7 G8 G9 G10 G11 G12 G13 G14 G15 G16 G17 G18 G19 G20 G21 G22 G23 G24 G25 G26 H7 H8 H9 H10 H11 H12 H13 H14 H15 H16 H17 H18 H19 H20 H21 H22 H23 H24 H25 H26 I7 I8 I9 I10 I11 I12 I13 I14 I15 I16 I17 I18 I19 I20 I21 I22 I23 I24 I25 I26 J7 J8 J9 J10 J11 J12 J13 J14 J15 J16 J17 J18 J19 J20 J21 J22 J23 J24 J25 J26 K7 K8 K9 K10 K11 K12 K13 K14 K15 K16 K17 K18 K19 K20 K21 K22 K23 K24 K25 K26 L7 L8 L9 L10 L11 L12 L13 L14 L15 L16 L17 L18 L19 L20 L21 L22 L23 L24 L25 L26 M7 M8 M9 M10 M11 M12 M13 M14 M15 M16 M17 M18 M19 M20 M21 M22 M23 M24 M25 M26 N7 N8 N9 N10 N11 N12 N13 N14 N15 N16 N17 N18 N19 N20 N21 N22 N23 N24 N25 N26 O7 O8 O9 O10 O11 O12 O13 O14 O15 O16 O17 O18 O19 O20 O21 O22 O23 O24 O25 O26 P7 P8 P9 P10 P11 P12 P13 P14 P15 P16 P17 P18 P19 P20 P21 P22 P23 P24 P25 P26 Q7 Q8 Q9 Q10 Q11 Q12 Q13 Q14 Q15 Q16 Q17 Q18 Q19 Q20 Q21 Q22 Q23 Q24 Q25 Q26 R7 R8 R9 R10 R11 R12 R13 R14 R15 R16 R17 R18 R19 R20 R21 R22 R23 R24 R25 R26 S7 S8 S9 S10 S11 S12 S13 S14 S15 S16 S17 S18 S19 S20 S21 S22 S23 S24 S25 S26 T7 T8 T9 T10 T11 T12 T13 T14 T15 T16 T17 T18 T19 T20 T21 T22 T23 T24 T25 T26 U7 U8 U9 U10 U11 U12 U13 U14 U15 U16 U17 U18 U19 U20 U21 U22 U23 U24 U25 U26 V7 V8 V9 V10 V11 V12 V13 V14 V15 V16 V17 V18 V19 V20 V21 V22 V23 V24 V25 V26 W7 W8 W9 W10 W11 W12 W13 W14 W15 W16 W17 W18 W19 W20 W21 W22 W23 W24 W25 W26 X7 X8 X9 X10 X11 X12 X13 X14 X15 X16 X17 X18 X19 X20 X21 X22 X23 X24 X25 X26 Y7 Y8 Y9 Y10 Y11 Y12 Y13 Y14 Y15 Y16 Y17 Y18 Y19 Y20 Y21 Y22 Y23 Y24 Y25 Y26 Z7 Z8 Z9 Z10 Z11 Z12 Z13 Z14 Z15 Z16 Z17 Z18 Z19 Z20 Z21 Z22 Z23 Z24 Z25 Z26 AA7 AA8 AA9 AA10 AA11 AA12 AA13 AA14 AA15 AA16 AA17 AA18 AA19 AA20 AA21 AA22 AA23 AA24 AA25 AA26 AB7 AB8 AB9 AB10 AB11 AB12 AB13 AB14 AB15 AB16 AB17 AB18 AB19 AB20 AB21 AB22 AB23 AB24 AB25 AB26 AC7 AC8 AC9 AC10 AC11 AC12 AC13 AC14 AC15 AC16 AC17 AC18 AC19 AC20 AC21 AC22 AC23 AC24 AC25 AC26 AD7 AD8 AD9 AD10 AD11 AD12 AD13 AD14 AD15 AD16 AD17 AD18 AD19 AD20 AD21 AD22 AD23 AD24 AD25 AD26 AE7 AE8 AE9 AE10 AE11 AE12 AE13 AE14 AE15 AE16 AE17 AE18 AE19 AE20 AE21 AE22 AE23 AE24 AE25 AE26 AF7 AF8 AF9 AF10 AF11 AF12 AF13 AF14 AF15 AF16 AF17 AF18 AF19 AF20 AF21 AF22 AF23 AF24 AF25 AF26 AG7 AG8 AG9 AG10 AG11 AG12 AG13 AG14 AG15 AG16 AG17 AG18 AG19 AG20 AG21 AG22 AG23 AG24 AG25 AG26 AH7 AH8 AH9 AH10 AH11 AH12 AH13 AH14 AH15 AH16 AH17 AH18 AH19 AH20 AH21 AH22 AH23 AH24 AH25 AH26 AI7 AI8 AI9 AI10 AI11 AI12 AI13 AI14 AI15 AI16 AI17 AI18 AI19 AI20 AI21 AI22 AI23 AI24 AI25 AI26" showDropDown="0" showInputMessage="0" showErrorMessage="0" allowBlank="1" type="list">
      <formula1>"0,1"</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3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9"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7" customWidth="1" min="36" max="36"/>
    <col width="18" customWidth="1" min="38" max="38"/>
    <col width="12" customWidth="1" min="39" max="39"/>
  </cols>
  <sheetData>
    <row r="1">
      <c r="A1" s="15" t="inlineStr">
        <is>
          <t>Jul Habit Tracker</t>
        </is>
      </c>
    </row>
    <row r="2">
      <c r="A2" s="10" t="inlineStr">
        <is>
          <t>Year:</t>
        </is>
      </c>
      <c r="B2">
        <f>Setup!$B$3</f>
        <v/>
      </c>
      <c r="C2" s="10" t="inlineStr">
        <is>
          <t>Month:</t>
        </is>
      </c>
      <c r="D2" t="inlineStr">
        <is>
          <t>Jul</t>
        </is>
      </c>
    </row>
    <row r="3">
      <c r="A3" s="10" t="inlineStr">
        <is>
          <t>Days in month:</t>
        </is>
      </c>
      <c r="B3">
        <f>DAY(EOMONTH(DATE(Setup!$B$3,7,1),0))</f>
        <v/>
      </c>
    </row>
    <row r="5" ht="18" customHeight="1">
      <c r="E5" s="16">
        <f>TEXT(DATE(Setup!$B$3,7,1),"ddd")</f>
        <v/>
      </c>
      <c r="F5" s="16">
        <f>TEXT(DATE(Setup!$B$3,7,2),"ddd")</f>
        <v/>
      </c>
      <c r="G5" s="16">
        <f>TEXT(DATE(Setup!$B$3,7,3),"ddd")</f>
        <v/>
      </c>
      <c r="H5" s="16">
        <f>TEXT(DATE(Setup!$B$3,7,4),"ddd")</f>
        <v/>
      </c>
      <c r="I5" s="16">
        <f>TEXT(DATE(Setup!$B$3,7,5),"ddd")</f>
        <v/>
      </c>
      <c r="J5" s="16">
        <f>TEXT(DATE(Setup!$B$3,7,6),"ddd")</f>
        <v/>
      </c>
      <c r="K5" s="16">
        <f>TEXT(DATE(Setup!$B$3,7,7),"ddd")</f>
        <v/>
      </c>
      <c r="L5" s="16">
        <f>TEXT(DATE(Setup!$B$3,7,8),"ddd")</f>
        <v/>
      </c>
      <c r="M5" s="16">
        <f>TEXT(DATE(Setup!$B$3,7,9),"ddd")</f>
        <v/>
      </c>
      <c r="N5" s="16">
        <f>TEXT(DATE(Setup!$B$3,7,10),"ddd")</f>
        <v/>
      </c>
      <c r="O5" s="16">
        <f>TEXT(DATE(Setup!$B$3,7,11),"ddd")</f>
        <v/>
      </c>
      <c r="P5" s="16">
        <f>TEXT(DATE(Setup!$B$3,7,12),"ddd")</f>
        <v/>
      </c>
      <c r="Q5" s="16">
        <f>TEXT(DATE(Setup!$B$3,7,13),"ddd")</f>
        <v/>
      </c>
      <c r="R5" s="16">
        <f>TEXT(DATE(Setup!$B$3,7,14),"ddd")</f>
        <v/>
      </c>
      <c r="S5" s="16">
        <f>TEXT(DATE(Setup!$B$3,7,15),"ddd")</f>
        <v/>
      </c>
      <c r="T5" s="16">
        <f>TEXT(DATE(Setup!$B$3,7,16),"ddd")</f>
        <v/>
      </c>
      <c r="U5" s="16">
        <f>TEXT(DATE(Setup!$B$3,7,17),"ddd")</f>
        <v/>
      </c>
      <c r="V5" s="16">
        <f>TEXT(DATE(Setup!$B$3,7,18),"ddd")</f>
        <v/>
      </c>
      <c r="W5" s="16">
        <f>TEXT(DATE(Setup!$B$3,7,19),"ddd")</f>
        <v/>
      </c>
      <c r="X5" s="16">
        <f>TEXT(DATE(Setup!$B$3,7,20),"ddd")</f>
        <v/>
      </c>
      <c r="Y5" s="16">
        <f>TEXT(DATE(Setup!$B$3,7,21),"ddd")</f>
        <v/>
      </c>
      <c r="Z5" s="16">
        <f>TEXT(DATE(Setup!$B$3,7,22),"ddd")</f>
        <v/>
      </c>
      <c r="AA5" s="16">
        <f>TEXT(DATE(Setup!$B$3,7,23),"ddd")</f>
        <v/>
      </c>
      <c r="AB5" s="16">
        <f>TEXT(DATE(Setup!$B$3,7,24),"ddd")</f>
        <v/>
      </c>
      <c r="AC5" s="16">
        <f>TEXT(DATE(Setup!$B$3,7,25),"ddd")</f>
        <v/>
      </c>
      <c r="AD5" s="16">
        <f>TEXT(DATE(Setup!$B$3,7,26),"ddd")</f>
        <v/>
      </c>
      <c r="AE5" s="16">
        <f>TEXT(DATE(Setup!$B$3,7,27),"ddd")</f>
        <v/>
      </c>
      <c r="AF5" s="16">
        <f>TEXT(DATE(Setup!$B$3,7,28),"ddd")</f>
        <v/>
      </c>
      <c r="AG5" s="16">
        <f>TEXT(DATE(Setup!$B$3,7,29),"ddd")</f>
        <v/>
      </c>
      <c r="AH5" s="16">
        <f>TEXT(DATE(Setup!$B$3,7,30),"ddd")</f>
        <v/>
      </c>
      <c r="AI5" s="16">
        <f>TEXT(DATE(Setup!$B$3,7,31),"ddd")</f>
        <v/>
      </c>
    </row>
    <row r="6" ht="18" customHeight="1">
      <c r="A6" s="17" t="inlineStr">
        <is>
          <t>Active</t>
        </is>
      </c>
      <c r="B6" s="17" t="inlineStr">
        <is>
          <t>Habit</t>
        </is>
      </c>
      <c r="C6" s="17" t="inlineStr">
        <is>
          <t>Type</t>
        </is>
      </c>
      <c r="D6" s="17" t="inlineStr">
        <is>
          <t>Points</t>
        </is>
      </c>
      <c r="E6" s="18" t="n">
        <v>1</v>
      </c>
      <c r="F6" s="18" t="n">
        <v>2</v>
      </c>
      <c r="G6" s="18" t="n">
        <v>3</v>
      </c>
      <c r="H6" s="18" t="n">
        <v>4</v>
      </c>
      <c r="I6" s="18" t="n">
        <v>5</v>
      </c>
      <c r="J6" s="18" t="n">
        <v>6</v>
      </c>
      <c r="K6" s="18" t="n">
        <v>7</v>
      </c>
      <c r="L6" s="18" t="n">
        <v>8</v>
      </c>
      <c r="M6" s="18" t="n">
        <v>9</v>
      </c>
      <c r="N6" s="18" t="n">
        <v>10</v>
      </c>
      <c r="O6" s="18" t="n">
        <v>11</v>
      </c>
      <c r="P6" s="18" t="n">
        <v>12</v>
      </c>
      <c r="Q6" s="18" t="n">
        <v>13</v>
      </c>
      <c r="R6" s="18" t="n">
        <v>14</v>
      </c>
      <c r="S6" s="18" t="n">
        <v>15</v>
      </c>
      <c r="T6" s="18" t="n">
        <v>16</v>
      </c>
      <c r="U6" s="18" t="n">
        <v>17</v>
      </c>
      <c r="V6" s="18" t="n">
        <v>18</v>
      </c>
      <c r="W6" s="18" t="n">
        <v>19</v>
      </c>
      <c r="X6" s="18" t="n">
        <v>20</v>
      </c>
      <c r="Y6" s="18" t="n">
        <v>21</v>
      </c>
      <c r="Z6" s="18" t="n">
        <v>22</v>
      </c>
      <c r="AA6" s="18" t="n">
        <v>23</v>
      </c>
      <c r="AB6" s="18" t="n">
        <v>24</v>
      </c>
      <c r="AC6" s="18" t="n">
        <v>25</v>
      </c>
      <c r="AD6" s="18" t="n">
        <v>26</v>
      </c>
      <c r="AE6" s="18" t="n">
        <v>27</v>
      </c>
      <c r="AF6" s="18" t="n">
        <v>28</v>
      </c>
      <c r="AG6" s="18" t="n">
        <v>29</v>
      </c>
      <c r="AH6" s="18" t="n">
        <v>30</v>
      </c>
      <c r="AI6" s="18" t="n">
        <v>31</v>
      </c>
      <c r="AJ6" s="17" t="inlineStr">
        <is>
          <t>Total</t>
        </is>
      </c>
    </row>
    <row r="7">
      <c r="A7" s="19">
        <f>Setup!D9</f>
        <v/>
      </c>
      <c r="B7" s="20">
        <f>Setup!A9</f>
        <v/>
      </c>
      <c r="C7" s="19">
        <f>Setup!B9</f>
        <v/>
      </c>
      <c r="D7" s="19">
        <f>Setup!E9</f>
        <v/>
      </c>
      <c r="E7" s="21" t="inlineStr"/>
      <c r="F7" s="21" t="inlineStr"/>
      <c r="G7" s="21" t="inlineStr"/>
      <c r="H7" s="21" t="inlineStr"/>
      <c r="I7" s="21" t="inlineStr"/>
      <c r="J7" s="21" t="inlineStr"/>
      <c r="K7" s="21" t="inlineStr"/>
      <c r="L7" s="21" t="inlineStr"/>
      <c r="M7" s="21" t="inlineStr"/>
      <c r="N7" s="21" t="inlineStr"/>
      <c r="O7" s="21" t="inlineStr"/>
      <c r="P7" s="21" t="inlineStr"/>
      <c r="Q7" s="21" t="inlineStr"/>
      <c r="R7" s="21" t="inlineStr"/>
      <c r="S7" s="21" t="inlineStr"/>
      <c r="T7" s="21" t="inlineStr"/>
      <c r="U7" s="21" t="inlineStr"/>
      <c r="V7" s="21" t="inlineStr"/>
      <c r="W7" s="21" t="inlineStr"/>
      <c r="X7" s="21" t="inlineStr"/>
      <c r="Y7" s="21" t="inlineStr"/>
      <c r="Z7" s="21" t="inlineStr"/>
      <c r="AA7" s="21" t="inlineStr"/>
      <c r="AB7" s="21" t="inlineStr"/>
      <c r="AC7" s="21" t="inlineStr"/>
      <c r="AD7" s="21" t="inlineStr"/>
      <c r="AE7" s="21" t="inlineStr"/>
      <c r="AF7" s="21" t="inlineStr"/>
      <c r="AG7" s="21" t="inlineStr"/>
      <c r="AH7" s="21" t="inlineStr"/>
      <c r="AI7" s="21" t="inlineStr"/>
      <c r="AJ7" s="22">
        <f>IF($A7=1,SUMPRODUCT(($E$6:$AI$6&lt;=$B$3)*(E7:AI7)),"")</f>
        <v/>
      </c>
    </row>
    <row r="8">
      <c r="A8" s="19">
        <f>Setup!D10</f>
        <v/>
      </c>
      <c r="B8" s="20">
        <f>Setup!A10</f>
        <v/>
      </c>
      <c r="C8" s="19">
        <f>Setup!B10</f>
        <v/>
      </c>
      <c r="D8" s="19">
        <f>Setup!E10</f>
        <v/>
      </c>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2">
        <f>IF($A8=1,SUMPRODUCT(($E$6:$AI$6&lt;=$B$3)*(E8:AI8)),"")</f>
        <v/>
      </c>
    </row>
    <row r="9">
      <c r="A9" s="19">
        <f>Setup!D11</f>
        <v/>
      </c>
      <c r="B9" s="20">
        <f>Setup!A11</f>
        <v/>
      </c>
      <c r="C9" s="19">
        <f>Setup!B11</f>
        <v/>
      </c>
      <c r="D9" s="19">
        <f>Setup!E11</f>
        <v/>
      </c>
      <c r="E9" s="21" t="inlineStr"/>
      <c r="F9" s="21" t="inlineStr"/>
      <c r="G9" s="21" t="inlineStr"/>
      <c r="H9" s="21" t="inlineStr"/>
      <c r="I9" s="21" t="inlineStr"/>
      <c r="J9" s="21" t="inlineStr"/>
      <c r="K9" s="21" t="inlineStr"/>
      <c r="L9" s="21" t="inlineStr"/>
      <c r="M9" s="21" t="inlineStr"/>
      <c r="N9" s="21" t="inlineStr"/>
      <c r="O9" s="21" t="inlineStr"/>
      <c r="P9" s="21" t="inlineStr"/>
      <c r="Q9" s="21" t="inlineStr"/>
      <c r="R9" s="21" t="inlineStr"/>
      <c r="S9" s="21" t="inlineStr"/>
      <c r="T9" s="21" t="inlineStr"/>
      <c r="U9" s="21" t="inlineStr"/>
      <c r="V9" s="21" t="inlineStr"/>
      <c r="W9" s="21" t="inlineStr"/>
      <c r="X9" s="21" t="inlineStr"/>
      <c r="Y9" s="21" t="inlineStr"/>
      <c r="Z9" s="21" t="inlineStr"/>
      <c r="AA9" s="21" t="inlineStr"/>
      <c r="AB9" s="21" t="inlineStr"/>
      <c r="AC9" s="21" t="inlineStr"/>
      <c r="AD9" s="21" t="inlineStr"/>
      <c r="AE9" s="21" t="inlineStr"/>
      <c r="AF9" s="21" t="inlineStr"/>
      <c r="AG9" s="21" t="inlineStr"/>
      <c r="AH9" s="21" t="inlineStr"/>
      <c r="AI9" s="21" t="inlineStr"/>
      <c r="AJ9" s="22">
        <f>IF($A9=1,SUMPRODUCT(($E$6:$AI$6&lt;=$B$3)*(E9:AI9)),"")</f>
        <v/>
      </c>
    </row>
    <row r="10">
      <c r="A10" s="19">
        <f>Setup!D12</f>
        <v/>
      </c>
      <c r="B10" s="20">
        <f>Setup!A12</f>
        <v/>
      </c>
      <c r="C10" s="19">
        <f>Setup!B12</f>
        <v/>
      </c>
      <c r="D10" s="19">
        <f>Setup!E12</f>
        <v/>
      </c>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2">
        <f>IF($A10=1,SUMPRODUCT(($E$6:$AI$6&lt;=$B$3)*(E10:AI10)),"")</f>
        <v/>
      </c>
    </row>
    <row r="11">
      <c r="A11" s="19">
        <f>Setup!D13</f>
        <v/>
      </c>
      <c r="B11" s="20">
        <f>Setup!A13</f>
        <v/>
      </c>
      <c r="C11" s="19">
        <f>Setup!B13</f>
        <v/>
      </c>
      <c r="D11" s="19">
        <f>Setup!E13</f>
        <v/>
      </c>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c r="R11" s="21" t="inlineStr"/>
      <c r="S11" s="21" t="inlineStr"/>
      <c r="T11" s="21" t="inlineStr"/>
      <c r="U11" s="21" t="inlineStr"/>
      <c r="V11" s="21" t="inlineStr"/>
      <c r="W11" s="21" t="inlineStr"/>
      <c r="X11" s="21" t="inlineStr"/>
      <c r="Y11" s="21" t="inlineStr"/>
      <c r="Z11" s="21" t="inlineStr"/>
      <c r="AA11" s="21" t="inlineStr"/>
      <c r="AB11" s="21" t="inlineStr"/>
      <c r="AC11" s="21" t="inlineStr"/>
      <c r="AD11" s="21" t="inlineStr"/>
      <c r="AE11" s="21" t="inlineStr"/>
      <c r="AF11" s="21" t="inlineStr"/>
      <c r="AG11" s="21" t="inlineStr"/>
      <c r="AH11" s="21" t="inlineStr"/>
      <c r="AI11" s="21" t="inlineStr"/>
      <c r="AJ11" s="22">
        <f>IF($A11=1,SUMPRODUCT(($E$6:$AI$6&lt;=$B$3)*(E11:AI11)),"")</f>
        <v/>
      </c>
    </row>
    <row r="12">
      <c r="A12" s="19">
        <f>Setup!D14</f>
        <v/>
      </c>
      <c r="B12" s="20">
        <f>Setup!A14</f>
        <v/>
      </c>
      <c r="C12" s="19">
        <f>Setup!B14</f>
        <v/>
      </c>
      <c r="D12" s="19">
        <f>Setup!E14</f>
        <v/>
      </c>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2">
        <f>IF($A12=1,SUMPRODUCT(($E$6:$AI$6&lt;=$B$3)*(E12:AI12)),"")</f>
        <v/>
      </c>
    </row>
    <row r="13">
      <c r="A13" s="19">
        <f>Setup!D15</f>
        <v/>
      </c>
      <c r="B13" s="20">
        <f>Setup!A15</f>
        <v/>
      </c>
      <c r="C13" s="19">
        <f>Setup!B15</f>
        <v/>
      </c>
      <c r="D13" s="19">
        <f>Setup!E15</f>
        <v/>
      </c>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c r="U13" s="21" t="inlineStr"/>
      <c r="V13" s="21" t="inlineStr"/>
      <c r="W13" s="21" t="inlineStr"/>
      <c r="X13" s="21" t="inlineStr"/>
      <c r="Y13" s="21" t="inlineStr"/>
      <c r="Z13" s="21" t="inlineStr"/>
      <c r="AA13" s="21" t="inlineStr"/>
      <c r="AB13" s="21" t="inlineStr"/>
      <c r="AC13" s="21" t="inlineStr"/>
      <c r="AD13" s="21" t="inlineStr"/>
      <c r="AE13" s="21" t="inlineStr"/>
      <c r="AF13" s="21" t="inlineStr"/>
      <c r="AG13" s="21" t="inlineStr"/>
      <c r="AH13" s="21" t="inlineStr"/>
      <c r="AI13" s="21" t="inlineStr"/>
      <c r="AJ13" s="22">
        <f>IF($A13=1,SUMPRODUCT(($E$6:$AI$6&lt;=$B$3)*(E13:AI13)),"")</f>
        <v/>
      </c>
    </row>
    <row r="14">
      <c r="A14" s="19">
        <f>Setup!D16</f>
        <v/>
      </c>
      <c r="B14" s="20">
        <f>Setup!A16</f>
        <v/>
      </c>
      <c r="C14" s="19">
        <f>Setup!B16</f>
        <v/>
      </c>
      <c r="D14" s="19">
        <f>Setup!E16</f>
        <v/>
      </c>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2">
        <f>IF($A14=1,SUMPRODUCT(($E$6:$AI$6&lt;=$B$3)*(E14:AI14)),"")</f>
        <v/>
      </c>
    </row>
    <row r="15">
      <c r="A15" s="19">
        <f>Setup!D17</f>
        <v/>
      </c>
      <c r="B15" s="20">
        <f>Setup!A17</f>
        <v/>
      </c>
      <c r="C15" s="19">
        <f>Setup!B17</f>
        <v/>
      </c>
      <c r="D15" s="19">
        <f>Setup!E17</f>
        <v/>
      </c>
      <c r="E15" s="21" t="inlineStr"/>
      <c r="F15" s="21" t="inlineStr"/>
      <c r="G15" s="21" t="inlineStr"/>
      <c r="H15" s="21" t="inlineStr"/>
      <c r="I15" s="21" t="inlineStr"/>
      <c r="J15" s="21" t="inlineStr"/>
      <c r="K15" s="21" t="inlineStr"/>
      <c r="L15" s="21" t="inlineStr"/>
      <c r="M15" s="21" t="inlineStr"/>
      <c r="N15" s="21" t="inlineStr"/>
      <c r="O15" s="21" t="inlineStr"/>
      <c r="P15" s="21" t="inlineStr"/>
      <c r="Q15" s="21" t="inlineStr"/>
      <c r="R15" s="21" t="inlineStr"/>
      <c r="S15" s="21" t="inlineStr"/>
      <c r="T15" s="21" t="inlineStr"/>
      <c r="U15" s="21" t="inlineStr"/>
      <c r="V15" s="21" t="inlineStr"/>
      <c r="W15" s="21" t="inlineStr"/>
      <c r="X15" s="21" t="inlineStr"/>
      <c r="Y15" s="21" t="inlineStr"/>
      <c r="Z15" s="21" t="inlineStr"/>
      <c r="AA15" s="21" t="inlineStr"/>
      <c r="AB15" s="21" t="inlineStr"/>
      <c r="AC15" s="21" t="inlineStr"/>
      <c r="AD15" s="21" t="inlineStr"/>
      <c r="AE15" s="21" t="inlineStr"/>
      <c r="AF15" s="21" t="inlineStr"/>
      <c r="AG15" s="21" t="inlineStr"/>
      <c r="AH15" s="21" t="inlineStr"/>
      <c r="AI15" s="21" t="inlineStr"/>
      <c r="AJ15" s="22">
        <f>IF($A15=1,SUMPRODUCT(($E$6:$AI$6&lt;=$B$3)*(E15:AI15)),"")</f>
        <v/>
      </c>
    </row>
    <row r="16">
      <c r="A16" s="19">
        <f>Setup!D18</f>
        <v/>
      </c>
      <c r="B16" s="20">
        <f>Setup!A18</f>
        <v/>
      </c>
      <c r="C16" s="19">
        <f>Setup!B18</f>
        <v/>
      </c>
      <c r="D16" s="19">
        <f>Setup!E18</f>
        <v/>
      </c>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2">
        <f>IF($A16=1,SUMPRODUCT(($E$6:$AI$6&lt;=$B$3)*(E16:AI16)),"")</f>
        <v/>
      </c>
    </row>
    <row r="17">
      <c r="A17" s="19">
        <f>Setup!D19</f>
        <v/>
      </c>
      <c r="B17" s="20">
        <f>Setup!A19</f>
        <v/>
      </c>
      <c r="C17" s="19">
        <f>Setup!B19</f>
        <v/>
      </c>
      <c r="D17" s="19">
        <f>Setup!E19</f>
        <v/>
      </c>
      <c r="E17" s="21" t="inlineStr"/>
      <c r="F17" s="21" t="inlineStr"/>
      <c r="G17" s="21" t="inlineStr"/>
      <c r="H17" s="21" t="inlineStr"/>
      <c r="I17" s="21" t="inlineStr"/>
      <c r="J17" s="21" t="inlineStr"/>
      <c r="K17" s="21" t="inlineStr"/>
      <c r="L17" s="21" t="inlineStr"/>
      <c r="M17" s="21" t="inlineStr"/>
      <c r="N17" s="21" t="inlineStr"/>
      <c r="O17" s="21" t="inlineStr"/>
      <c r="P17" s="21" t="inlineStr"/>
      <c r="Q17" s="21" t="inlineStr"/>
      <c r="R17" s="21" t="inlineStr"/>
      <c r="S17" s="21" t="inlineStr"/>
      <c r="T17" s="21" t="inlineStr"/>
      <c r="U17" s="21" t="inlineStr"/>
      <c r="V17" s="21" t="inlineStr"/>
      <c r="W17" s="21" t="inlineStr"/>
      <c r="X17" s="21" t="inlineStr"/>
      <c r="Y17" s="21" t="inlineStr"/>
      <c r="Z17" s="21" t="inlineStr"/>
      <c r="AA17" s="21" t="inlineStr"/>
      <c r="AB17" s="21" t="inlineStr"/>
      <c r="AC17" s="21" t="inlineStr"/>
      <c r="AD17" s="21" t="inlineStr"/>
      <c r="AE17" s="21" t="inlineStr"/>
      <c r="AF17" s="21" t="inlineStr"/>
      <c r="AG17" s="21" t="inlineStr"/>
      <c r="AH17" s="21" t="inlineStr"/>
      <c r="AI17" s="21" t="inlineStr"/>
      <c r="AJ17" s="22">
        <f>IF($A17=1,SUMPRODUCT(($E$6:$AI$6&lt;=$B$3)*(E17:AI17)),"")</f>
        <v/>
      </c>
    </row>
    <row r="18">
      <c r="A18" s="19">
        <f>Setup!D20</f>
        <v/>
      </c>
      <c r="B18" s="20">
        <f>Setup!A20</f>
        <v/>
      </c>
      <c r="C18" s="19">
        <f>Setup!B20</f>
        <v/>
      </c>
      <c r="D18" s="19">
        <f>Setup!E20</f>
        <v/>
      </c>
      <c r="E18" s="21" t="inlineStr"/>
      <c r="F18" s="21" t="inlineStr"/>
      <c r="G18" s="21" t="inlineStr"/>
      <c r="H18" s="21" t="inlineStr"/>
      <c r="I18" s="21" t="inlineStr"/>
      <c r="J18" s="21" t="inlineStr"/>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2">
        <f>IF($A18=1,SUMPRODUCT(($E$6:$AI$6&lt;=$B$3)*(E18:AI18)),"")</f>
        <v/>
      </c>
    </row>
    <row r="19">
      <c r="A19" s="19">
        <f>Setup!D21</f>
        <v/>
      </c>
      <c r="B19" s="20">
        <f>Setup!A21</f>
        <v/>
      </c>
      <c r="C19" s="19">
        <f>Setup!B21</f>
        <v/>
      </c>
      <c r="D19" s="19">
        <f>Setup!E21</f>
        <v/>
      </c>
      <c r="E19" s="21" t="inlineStr"/>
      <c r="F19" s="21" t="inlineStr"/>
      <c r="G19" s="21" t="inlineStr"/>
      <c r="H19" s="21" t="inlineStr"/>
      <c r="I19" s="21" t="inlineStr"/>
      <c r="J19" s="21" t="inlineStr"/>
      <c r="K19" s="21" t="inlineStr"/>
      <c r="L19" s="21" t="inlineStr"/>
      <c r="M19" s="21" t="inlineStr"/>
      <c r="N19" s="21" t="inlineStr"/>
      <c r="O19" s="21" t="inlineStr"/>
      <c r="P19" s="21" t="inlineStr"/>
      <c r="Q19" s="21" t="inlineStr"/>
      <c r="R19" s="21" t="inlineStr"/>
      <c r="S19" s="21" t="inlineStr"/>
      <c r="T19" s="21" t="inlineStr"/>
      <c r="U19" s="21" t="inlineStr"/>
      <c r="V19" s="21" t="inlineStr"/>
      <c r="W19" s="21" t="inlineStr"/>
      <c r="X19" s="21" t="inlineStr"/>
      <c r="Y19" s="21" t="inlineStr"/>
      <c r="Z19" s="21" t="inlineStr"/>
      <c r="AA19" s="21" t="inlineStr"/>
      <c r="AB19" s="21" t="inlineStr"/>
      <c r="AC19" s="21" t="inlineStr"/>
      <c r="AD19" s="21" t="inlineStr"/>
      <c r="AE19" s="21" t="inlineStr"/>
      <c r="AF19" s="21" t="inlineStr"/>
      <c r="AG19" s="21" t="inlineStr"/>
      <c r="AH19" s="21" t="inlineStr"/>
      <c r="AI19" s="21" t="inlineStr"/>
      <c r="AJ19" s="22">
        <f>IF($A19=1,SUMPRODUCT(($E$6:$AI$6&lt;=$B$3)*(E19:AI19)),"")</f>
        <v/>
      </c>
    </row>
    <row r="20">
      <c r="A20" s="19">
        <f>Setup!D22</f>
        <v/>
      </c>
      <c r="B20" s="20">
        <f>Setup!A22</f>
        <v/>
      </c>
      <c r="C20" s="19">
        <f>Setup!B22</f>
        <v/>
      </c>
      <c r="D20" s="19">
        <f>Setup!E22</f>
        <v/>
      </c>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2">
        <f>IF($A20=1,SUMPRODUCT(($E$6:$AI$6&lt;=$B$3)*(E20:AI20)),"")</f>
        <v/>
      </c>
    </row>
    <row r="21">
      <c r="A21" s="19">
        <f>Setup!D23</f>
        <v/>
      </c>
      <c r="B21" s="20">
        <f>Setup!A23</f>
        <v/>
      </c>
      <c r="C21" s="19">
        <f>Setup!B23</f>
        <v/>
      </c>
      <c r="D21" s="19">
        <f>Setup!E23</f>
        <v/>
      </c>
      <c r="E21" s="21" t="inlineStr"/>
      <c r="F21" s="21" t="inlineStr"/>
      <c r="G21" s="21" t="inlineStr"/>
      <c r="H21" s="21" t="inlineStr"/>
      <c r="I21" s="21" t="inlineStr"/>
      <c r="J21" s="21" t="inlineStr"/>
      <c r="K21" s="21" t="inlineStr"/>
      <c r="L21" s="21" t="inlineStr"/>
      <c r="M21" s="21" t="inlineStr"/>
      <c r="N21" s="21" t="inlineStr"/>
      <c r="O21" s="21" t="inlineStr"/>
      <c r="P21" s="21" t="inlineStr"/>
      <c r="Q21" s="21" t="inlineStr"/>
      <c r="R21" s="21" t="inlineStr"/>
      <c r="S21" s="21" t="inlineStr"/>
      <c r="T21" s="21" t="inlineStr"/>
      <c r="U21" s="21" t="inlineStr"/>
      <c r="V21" s="21" t="inlineStr"/>
      <c r="W21" s="21" t="inlineStr"/>
      <c r="X21" s="21" t="inlineStr"/>
      <c r="Y21" s="21" t="inlineStr"/>
      <c r="Z21" s="21" t="inlineStr"/>
      <c r="AA21" s="21" t="inlineStr"/>
      <c r="AB21" s="21" t="inlineStr"/>
      <c r="AC21" s="21" t="inlineStr"/>
      <c r="AD21" s="21" t="inlineStr"/>
      <c r="AE21" s="21" t="inlineStr"/>
      <c r="AF21" s="21" t="inlineStr"/>
      <c r="AG21" s="21" t="inlineStr"/>
      <c r="AH21" s="21" t="inlineStr"/>
      <c r="AI21" s="21" t="inlineStr"/>
      <c r="AJ21" s="22">
        <f>IF($A21=1,SUMPRODUCT(($E$6:$AI$6&lt;=$B$3)*(E21:AI21)),"")</f>
        <v/>
      </c>
    </row>
    <row r="22">
      <c r="A22" s="19">
        <f>Setup!D24</f>
        <v/>
      </c>
      <c r="B22" s="20">
        <f>Setup!A24</f>
        <v/>
      </c>
      <c r="C22" s="19">
        <f>Setup!B24</f>
        <v/>
      </c>
      <c r="D22" s="19">
        <f>Setup!E24</f>
        <v/>
      </c>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c r="Y22" s="21" t="inlineStr"/>
      <c r="Z22" s="21" t="inlineStr"/>
      <c r="AA22" s="21" t="inlineStr"/>
      <c r="AB22" s="21" t="inlineStr"/>
      <c r="AC22" s="21" t="inlineStr"/>
      <c r="AD22" s="21" t="inlineStr"/>
      <c r="AE22" s="21" t="inlineStr"/>
      <c r="AF22" s="21" t="inlineStr"/>
      <c r="AG22" s="21" t="inlineStr"/>
      <c r="AH22" s="21" t="inlineStr"/>
      <c r="AI22" s="21" t="inlineStr"/>
      <c r="AJ22" s="22">
        <f>IF($A22=1,SUMPRODUCT(($E$6:$AI$6&lt;=$B$3)*(E22:AI22)),"")</f>
        <v/>
      </c>
    </row>
    <row r="23">
      <c r="A23" s="19">
        <f>Setup!D25</f>
        <v/>
      </c>
      <c r="B23" s="20">
        <f>Setup!A25</f>
        <v/>
      </c>
      <c r="C23" s="19">
        <f>Setup!B25</f>
        <v/>
      </c>
      <c r="D23" s="19">
        <f>Setup!E25</f>
        <v/>
      </c>
      <c r="E23" s="21" t="inlineStr"/>
      <c r="F23" s="21" t="inlineStr"/>
      <c r="G23" s="21" t="inlineStr"/>
      <c r="H23" s="21" t="inlineStr"/>
      <c r="I23" s="21" t="inlineStr"/>
      <c r="J23" s="21" t="inlineStr"/>
      <c r="K23" s="21" t="inlineStr"/>
      <c r="L23" s="21" t="inlineStr"/>
      <c r="M23" s="21" t="inlineStr"/>
      <c r="N23" s="21" t="inlineStr"/>
      <c r="O23" s="21" t="inlineStr"/>
      <c r="P23" s="21" t="inlineStr"/>
      <c r="Q23" s="21" t="inlineStr"/>
      <c r="R23" s="21" t="inlineStr"/>
      <c r="S23" s="21" t="inlineStr"/>
      <c r="T23" s="21" t="inlineStr"/>
      <c r="U23" s="21" t="inlineStr"/>
      <c r="V23" s="21" t="inlineStr"/>
      <c r="W23" s="21" t="inlineStr"/>
      <c r="X23" s="21" t="inlineStr"/>
      <c r="Y23" s="21" t="inlineStr"/>
      <c r="Z23" s="21" t="inlineStr"/>
      <c r="AA23" s="21" t="inlineStr"/>
      <c r="AB23" s="21" t="inlineStr"/>
      <c r="AC23" s="21" t="inlineStr"/>
      <c r="AD23" s="21" t="inlineStr"/>
      <c r="AE23" s="21" t="inlineStr"/>
      <c r="AF23" s="21" t="inlineStr"/>
      <c r="AG23" s="21" t="inlineStr"/>
      <c r="AH23" s="21" t="inlineStr"/>
      <c r="AI23" s="21" t="inlineStr"/>
      <c r="AJ23" s="22">
        <f>IF($A23=1,SUMPRODUCT(($E$6:$AI$6&lt;=$B$3)*(E23:AI23)),"")</f>
        <v/>
      </c>
    </row>
    <row r="24">
      <c r="A24" s="19">
        <f>Setup!D26</f>
        <v/>
      </c>
      <c r="B24" s="20">
        <f>Setup!A26</f>
        <v/>
      </c>
      <c r="C24" s="19">
        <f>Setup!B26</f>
        <v/>
      </c>
      <c r="D24" s="19">
        <f>Setup!E26</f>
        <v/>
      </c>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c r="Y24" s="21" t="inlineStr"/>
      <c r="Z24" s="21" t="inlineStr"/>
      <c r="AA24" s="21" t="inlineStr"/>
      <c r="AB24" s="21" t="inlineStr"/>
      <c r="AC24" s="21" t="inlineStr"/>
      <c r="AD24" s="21" t="inlineStr"/>
      <c r="AE24" s="21" t="inlineStr"/>
      <c r="AF24" s="21" t="inlineStr"/>
      <c r="AG24" s="21" t="inlineStr"/>
      <c r="AH24" s="21" t="inlineStr"/>
      <c r="AI24" s="21" t="inlineStr"/>
      <c r="AJ24" s="22">
        <f>IF($A24=1,SUMPRODUCT(($E$6:$AI$6&lt;=$B$3)*(E24:AI24)),"")</f>
        <v/>
      </c>
    </row>
    <row r="25">
      <c r="A25" s="19">
        <f>Setup!D27</f>
        <v/>
      </c>
      <c r="B25" s="20">
        <f>Setup!A27</f>
        <v/>
      </c>
      <c r="C25" s="19">
        <f>Setup!B27</f>
        <v/>
      </c>
      <c r="D25" s="19">
        <f>Setup!E27</f>
        <v/>
      </c>
      <c r="E25" s="21" t="inlineStr"/>
      <c r="F25" s="21" t="inlineStr"/>
      <c r="G25" s="21" t="inlineStr"/>
      <c r="H25" s="21" t="inlineStr"/>
      <c r="I25" s="21" t="inlineStr"/>
      <c r="J25" s="21" t="inlineStr"/>
      <c r="K25" s="21" t="inlineStr"/>
      <c r="L25" s="21" t="inlineStr"/>
      <c r="M25" s="21" t="inlineStr"/>
      <c r="N25" s="21" t="inlineStr"/>
      <c r="O25" s="21" t="inlineStr"/>
      <c r="P25" s="21" t="inlineStr"/>
      <c r="Q25" s="21" t="inlineStr"/>
      <c r="R25" s="21" t="inlineStr"/>
      <c r="S25" s="21" t="inlineStr"/>
      <c r="T25" s="21" t="inlineStr"/>
      <c r="U25" s="21" t="inlineStr"/>
      <c r="V25" s="21" t="inlineStr"/>
      <c r="W25" s="21" t="inlineStr"/>
      <c r="X25" s="21" t="inlineStr"/>
      <c r="Y25" s="21" t="inlineStr"/>
      <c r="Z25" s="21" t="inlineStr"/>
      <c r="AA25" s="21" t="inlineStr"/>
      <c r="AB25" s="21" t="inlineStr"/>
      <c r="AC25" s="21" t="inlineStr"/>
      <c r="AD25" s="21" t="inlineStr"/>
      <c r="AE25" s="21" t="inlineStr"/>
      <c r="AF25" s="21" t="inlineStr"/>
      <c r="AG25" s="21" t="inlineStr"/>
      <c r="AH25" s="21" t="inlineStr"/>
      <c r="AI25" s="21" t="inlineStr"/>
      <c r="AJ25" s="22">
        <f>IF($A25=1,SUMPRODUCT(($E$6:$AI$6&lt;=$B$3)*(E25:AI25)),"")</f>
        <v/>
      </c>
    </row>
    <row r="26">
      <c r="A26" s="19">
        <f>Setup!D28</f>
        <v/>
      </c>
      <c r="B26" s="20">
        <f>Setup!A28</f>
        <v/>
      </c>
      <c r="C26" s="19">
        <f>Setup!B28</f>
        <v/>
      </c>
      <c r="D26" s="19">
        <f>Setup!E28</f>
        <v/>
      </c>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2">
        <f>IF($A26=1,SUMPRODUCT(($E$6:$AI$6&lt;=$B$3)*(E26:AI26)),"")</f>
        <v/>
      </c>
    </row>
    <row r="29">
      <c r="A29" s="23" t="inlineStr">
        <is>
          <t>Daily summary</t>
        </is>
      </c>
    </row>
    <row r="30">
      <c r="A30" s="8" t="inlineStr">
        <is>
          <t>Good habits done</t>
        </is>
      </c>
      <c r="E30" s="19">
        <f>SUMPRODUCT(($A$7:$A$26=1)*($C$7:$C$26="Good")*(E7:E26))</f>
        <v/>
      </c>
      <c r="F30" s="19">
        <f>SUMPRODUCT(($A$7:$A$26=1)*($C$7:$C$26="Good")*(F7:F26))</f>
        <v/>
      </c>
      <c r="G30" s="19">
        <f>SUMPRODUCT(($A$7:$A$26=1)*($C$7:$C$26="Good")*(G7:G26))</f>
        <v/>
      </c>
      <c r="H30" s="19">
        <f>SUMPRODUCT(($A$7:$A$26=1)*($C$7:$C$26="Good")*(H7:H26))</f>
        <v/>
      </c>
      <c r="I30" s="19">
        <f>SUMPRODUCT(($A$7:$A$26=1)*($C$7:$C$26="Good")*(I7:I26))</f>
        <v/>
      </c>
      <c r="J30" s="19">
        <f>SUMPRODUCT(($A$7:$A$26=1)*($C$7:$C$26="Good")*(J7:J26))</f>
        <v/>
      </c>
      <c r="K30" s="19">
        <f>SUMPRODUCT(($A$7:$A$26=1)*($C$7:$C$26="Good")*(K7:K26))</f>
        <v/>
      </c>
      <c r="L30" s="19">
        <f>SUMPRODUCT(($A$7:$A$26=1)*($C$7:$C$26="Good")*(L7:L26))</f>
        <v/>
      </c>
      <c r="M30" s="19">
        <f>SUMPRODUCT(($A$7:$A$26=1)*($C$7:$C$26="Good")*(M7:M26))</f>
        <v/>
      </c>
      <c r="N30" s="19">
        <f>SUMPRODUCT(($A$7:$A$26=1)*($C$7:$C$26="Good")*(N7:N26))</f>
        <v/>
      </c>
      <c r="O30" s="19">
        <f>SUMPRODUCT(($A$7:$A$26=1)*($C$7:$C$26="Good")*(O7:O26))</f>
        <v/>
      </c>
      <c r="P30" s="19">
        <f>SUMPRODUCT(($A$7:$A$26=1)*($C$7:$C$26="Good")*(P7:P26))</f>
        <v/>
      </c>
      <c r="Q30" s="19">
        <f>SUMPRODUCT(($A$7:$A$26=1)*($C$7:$C$26="Good")*(Q7:Q26))</f>
        <v/>
      </c>
      <c r="R30" s="19">
        <f>SUMPRODUCT(($A$7:$A$26=1)*($C$7:$C$26="Good")*(R7:R26))</f>
        <v/>
      </c>
      <c r="S30" s="19">
        <f>SUMPRODUCT(($A$7:$A$26=1)*($C$7:$C$26="Good")*(S7:S26))</f>
        <v/>
      </c>
      <c r="T30" s="19">
        <f>SUMPRODUCT(($A$7:$A$26=1)*($C$7:$C$26="Good")*(T7:T26))</f>
        <v/>
      </c>
      <c r="U30" s="19">
        <f>SUMPRODUCT(($A$7:$A$26=1)*($C$7:$C$26="Good")*(U7:U26))</f>
        <v/>
      </c>
      <c r="V30" s="19">
        <f>SUMPRODUCT(($A$7:$A$26=1)*($C$7:$C$26="Good")*(V7:V26))</f>
        <v/>
      </c>
      <c r="W30" s="19">
        <f>SUMPRODUCT(($A$7:$A$26=1)*($C$7:$C$26="Good")*(W7:W26))</f>
        <v/>
      </c>
      <c r="X30" s="19">
        <f>SUMPRODUCT(($A$7:$A$26=1)*($C$7:$C$26="Good")*(X7:X26))</f>
        <v/>
      </c>
      <c r="Y30" s="19">
        <f>SUMPRODUCT(($A$7:$A$26=1)*($C$7:$C$26="Good")*(Y7:Y26))</f>
        <v/>
      </c>
      <c r="Z30" s="19">
        <f>SUMPRODUCT(($A$7:$A$26=1)*($C$7:$C$26="Good")*(Z7:Z26))</f>
        <v/>
      </c>
      <c r="AA30" s="19">
        <f>SUMPRODUCT(($A$7:$A$26=1)*($C$7:$C$26="Good")*(AA7:AA26))</f>
        <v/>
      </c>
      <c r="AB30" s="19">
        <f>SUMPRODUCT(($A$7:$A$26=1)*($C$7:$C$26="Good")*(AB7:AB26))</f>
        <v/>
      </c>
      <c r="AC30" s="19">
        <f>SUMPRODUCT(($A$7:$A$26=1)*($C$7:$C$26="Good")*(AC7:AC26))</f>
        <v/>
      </c>
      <c r="AD30" s="19">
        <f>SUMPRODUCT(($A$7:$A$26=1)*($C$7:$C$26="Good")*(AD7:AD26))</f>
        <v/>
      </c>
      <c r="AE30" s="19">
        <f>SUMPRODUCT(($A$7:$A$26=1)*($C$7:$C$26="Good")*(AE7:AE26))</f>
        <v/>
      </c>
      <c r="AF30" s="19">
        <f>SUMPRODUCT(($A$7:$A$26=1)*($C$7:$C$26="Good")*(AF7:AF26))</f>
        <v/>
      </c>
      <c r="AG30" s="19">
        <f>SUMPRODUCT(($A$7:$A$26=1)*($C$7:$C$26="Good")*(AG7:AG26))</f>
        <v/>
      </c>
      <c r="AH30" s="19">
        <f>SUMPRODUCT(($A$7:$A$26=1)*($C$7:$C$26="Good")*(AH7:AH26))</f>
        <v/>
      </c>
      <c r="AI30" s="19">
        <f>SUMPRODUCT(($A$7:$A$26=1)*($C$7:$C$26="Good")*(AI7:AI26))</f>
        <v/>
      </c>
      <c r="AL30" s="24" t="inlineStr">
        <is>
          <t>Monthly totals</t>
        </is>
      </c>
    </row>
    <row r="31">
      <c r="A31" s="8" t="inlineStr">
        <is>
          <t>Bad habits happened</t>
        </is>
      </c>
      <c r="E31" s="19">
        <f>SUMPRODUCT(($A$7:$A$26=1)*($C$7:$C$26="Bad")*(E7:E26))</f>
        <v/>
      </c>
      <c r="F31" s="19">
        <f>SUMPRODUCT(($A$7:$A$26=1)*($C$7:$C$26="Bad")*(F7:F26))</f>
        <v/>
      </c>
      <c r="G31" s="19">
        <f>SUMPRODUCT(($A$7:$A$26=1)*($C$7:$C$26="Bad")*(G7:G26))</f>
        <v/>
      </c>
      <c r="H31" s="19">
        <f>SUMPRODUCT(($A$7:$A$26=1)*($C$7:$C$26="Bad")*(H7:H26))</f>
        <v/>
      </c>
      <c r="I31" s="19">
        <f>SUMPRODUCT(($A$7:$A$26=1)*($C$7:$C$26="Bad")*(I7:I26))</f>
        <v/>
      </c>
      <c r="J31" s="19">
        <f>SUMPRODUCT(($A$7:$A$26=1)*($C$7:$C$26="Bad")*(J7:J26))</f>
        <v/>
      </c>
      <c r="K31" s="19">
        <f>SUMPRODUCT(($A$7:$A$26=1)*($C$7:$C$26="Bad")*(K7:K26))</f>
        <v/>
      </c>
      <c r="L31" s="19">
        <f>SUMPRODUCT(($A$7:$A$26=1)*($C$7:$C$26="Bad")*(L7:L26))</f>
        <v/>
      </c>
      <c r="M31" s="19">
        <f>SUMPRODUCT(($A$7:$A$26=1)*($C$7:$C$26="Bad")*(M7:M26))</f>
        <v/>
      </c>
      <c r="N31" s="19">
        <f>SUMPRODUCT(($A$7:$A$26=1)*($C$7:$C$26="Bad")*(N7:N26))</f>
        <v/>
      </c>
      <c r="O31" s="19">
        <f>SUMPRODUCT(($A$7:$A$26=1)*($C$7:$C$26="Bad")*(O7:O26))</f>
        <v/>
      </c>
      <c r="P31" s="19">
        <f>SUMPRODUCT(($A$7:$A$26=1)*($C$7:$C$26="Bad")*(P7:P26))</f>
        <v/>
      </c>
      <c r="Q31" s="19">
        <f>SUMPRODUCT(($A$7:$A$26=1)*($C$7:$C$26="Bad")*(Q7:Q26))</f>
        <v/>
      </c>
      <c r="R31" s="19">
        <f>SUMPRODUCT(($A$7:$A$26=1)*($C$7:$C$26="Bad")*(R7:R26))</f>
        <v/>
      </c>
      <c r="S31" s="19">
        <f>SUMPRODUCT(($A$7:$A$26=1)*($C$7:$C$26="Bad")*(S7:S26))</f>
        <v/>
      </c>
      <c r="T31" s="19">
        <f>SUMPRODUCT(($A$7:$A$26=1)*($C$7:$C$26="Bad")*(T7:T26))</f>
        <v/>
      </c>
      <c r="U31" s="19">
        <f>SUMPRODUCT(($A$7:$A$26=1)*($C$7:$C$26="Bad")*(U7:U26))</f>
        <v/>
      </c>
      <c r="V31" s="19">
        <f>SUMPRODUCT(($A$7:$A$26=1)*($C$7:$C$26="Bad")*(V7:V26))</f>
        <v/>
      </c>
      <c r="W31" s="19">
        <f>SUMPRODUCT(($A$7:$A$26=1)*($C$7:$C$26="Bad")*(W7:W26))</f>
        <v/>
      </c>
      <c r="X31" s="19">
        <f>SUMPRODUCT(($A$7:$A$26=1)*($C$7:$C$26="Bad")*(X7:X26))</f>
        <v/>
      </c>
      <c r="Y31" s="19">
        <f>SUMPRODUCT(($A$7:$A$26=1)*($C$7:$C$26="Bad")*(Y7:Y26))</f>
        <v/>
      </c>
      <c r="Z31" s="19">
        <f>SUMPRODUCT(($A$7:$A$26=1)*($C$7:$C$26="Bad")*(Z7:Z26))</f>
        <v/>
      </c>
      <c r="AA31" s="19">
        <f>SUMPRODUCT(($A$7:$A$26=1)*($C$7:$C$26="Bad")*(AA7:AA26))</f>
        <v/>
      </c>
      <c r="AB31" s="19">
        <f>SUMPRODUCT(($A$7:$A$26=1)*($C$7:$C$26="Bad")*(AB7:AB26))</f>
        <v/>
      </c>
      <c r="AC31" s="19">
        <f>SUMPRODUCT(($A$7:$A$26=1)*($C$7:$C$26="Bad")*(AC7:AC26))</f>
        <v/>
      </c>
      <c r="AD31" s="19">
        <f>SUMPRODUCT(($A$7:$A$26=1)*($C$7:$C$26="Bad")*(AD7:AD26))</f>
        <v/>
      </c>
      <c r="AE31" s="19">
        <f>SUMPRODUCT(($A$7:$A$26=1)*($C$7:$C$26="Bad")*(AE7:AE26))</f>
        <v/>
      </c>
      <c r="AF31" s="19">
        <f>SUMPRODUCT(($A$7:$A$26=1)*($C$7:$C$26="Bad")*(AF7:AF26))</f>
        <v/>
      </c>
      <c r="AG31" s="19">
        <f>SUMPRODUCT(($A$7:$A$26=1)*($C$7:$C$26="Bad")*(AG7:AG26))</f>
        <v/>
      </c>
      <c r="AH31" s="19">
        <f>SUMPRODUCT(($A$7:$A$26=1)*($C$7:$C$26="Bad")*(AH7:AH26))</f>
        <v/>
      </c>
      <c r="AI31" s="19">
        <f>SUMPRODUCT(($A$7:$A$26=1)*($C$7:$C$26="Bad")*(AI7:AI26))</f>
        <v/>
      </c>
      <c r="AL31" s="10" t="inlineStr">
        <is>
          <t>Good done</t>
        </is>
      </c>
      <c r="AM31" s="25">
        <f>SUMPRODUCT(($E$6:$AI$6&lt;=$B$3)*(E30:AI30))</f>
        <v/>
      </c>
    </row>
    <row r="32">
      <c r="A32" s="8" t="inlineStr">
        <is>
          <t>Net score</t>
        </is>
      </c>
      <c r="E32" s="19">
        <f>SUMPRODUCT(($A$7:$A$26=1)*($D$7:$D$26)*(E7:E26))</f>
        <v/>
      </c>
      <c r="F32" s="19">
        <f>SUMPRODUCT(($A$7:$A$26=1)*($D$7:$D$26)*(F7:F26))</f>
        <v/>
      </c>
      <c r="G32" s="19">
        <f>SUMPRODUCT(($A$7:$A$26=1)*($D$7:$D$26)*(G7:G26))</f>
        <v/>
      </c>
      <c r="H32" s="19">
        <f>SUMPRODUCT(($A$7:$A$26=1)*($D$7:$D$26)*(H7:H26))</f>
        <v/>
      </c>
      <c r="I32" s="19">
        <f>SUMPRODUCT(($A$7:$A$26=1)*($D$7:$D$26)*(I7:I26))</f>
        <v/>
      </c>
      <c r="J32" s="19">
        <f>SUMPRODUCT(($A$7:$A$26=1)*($D$7:$D$26)*(J7:J26))</f>
        <v/>
      </c>
      <c r="K32" s="19">
        <f>SUMPRODUCT(($A$7:$A$26=1)*($D$7:$D$26)*(K7:K26))</f>
        <v/>
      </c>
      <c r="L32" s="19">
        <f>SUMPRODUCT(($A$7:$A$26=1)*($D$7:$D$26)*(L7:L26))</f>
        <v/>
      </c>
      <c r="M32" s="19">
        <f>SUMPRODUCT(($A$7:$A$26=1)*($D$7:$D$26)*(M7:M26))</f>
        <v/>
      </c>
      <c r="N32" s="19">
        <f>SUMPRODUCT(($A$7:$A$26=1)*($D$7:$D$26)*(N7:N26))</f>
        <v/>
      </c>
      <c r="O32" s="19">
        <f>SUMPRODUCT(($A$7:$A$26=1)*($D$7:$D$26)*(O7:O26))</f>
        <v/>
      </c>
      <c r="P32" s="19">
        <f>SUMPRODUCT(($A$7:$A$26=1)*($D$7:$D$26)*(P7:P26))</f>
        <v/>
      </c>
      <c r="Q32" s="19">
        <f>SUMPRODUCT(($A$7:$A$26=1)*($D$7:$D$26)*(Q7:Q26))</f>
        <v/>
      </c>
      <c r="R32" s="19">
        <f>SUMPRODUCT(($A$7:$A$26=1)*($D$7:$D$26)*(R7:R26))</f>
        <v/>
      </c>
      <c r="S32" s="19">
        <f>SUMPRODUCT(($A$7:$A$26=1)*($D$7:$D$26)*(S7:S26))</f>
        <v/>
      </c>
      <c r="T32" s="19">
        <f>SUMPRODUCT(($A$7:$A$26=1)*($D$7:$D$26)*(T7:T26))</f>
        <v/>
      </c>
      <c r="U32" s="19">
        <f>SUMPRODUCT(($A$7:$A$26=1)*($D$7:$D$26)*(U7:U26))</f>
        <v/>
      </c>
      <c r="V32" s="19">
        <f>SUMPRODUCT(($A$7:$A$26=1)*($D$7:$D$26)*(V7:V26))</f>
        <v/>
      </c>
      <c r="W32" s="19">
        <f>SUMPRODUCT(($A$7:$A$26=1)*($D$7:$D$26)*(W7:W26))</f>
        <v/>
      </c>
      <c r="X32" s="19">
        <f>SUMPRODUCT(($A$7:$A$26=1)*($D$7:$D$26)*(X7:X26))</f>
        <v/>
      </c>
      <c r="Y32" s="19">
        <f>SUMPRODUCT(($A$7:$A$26=1)*($D$7:$D$26)*(Y7:Y26))</f>
        <v/>
      </c>
      <c r="Z32" s="19">
        <f>SUMPRODUCT(($A$7:$A$26=1)*($D$7:$D$26)*(Z7:Z26))</f>
        <v/>
      </c>
      <c r="AA32" s="19">
        <f>SUMPRODUCT(($A$7:$A$26=1)*($D$7:$D$26)*(AA7:AA26))</f>
        <v/>
      </c>
      <c r="AB32" s="19">
        <f>SUMPRODUCT(($A$7:$A$26=1)*($D$7:$D$26)*(AB7:AB26))</f>
        <v/>
      </c>
      <c r="AC32" s="19">
        <f>SUMPRODUCT(($A$7:$A$26=1)*($D$7:$D$26)*(AC7:AC26))</f>
        <v/>
      </c>
      <c r="AD32" s="19">
        <f>SUMPRODUCT(($A$7:$A$26=1)*($D$7:$D$26)*(AD7:AD26))</f>
        <v/>
      </c>
      <c r="AE32" s="19">
        <f>SUMPRODUCT(($A$7:$A$26=1)*($D$7:$D$26)*(AE7:AE26))</f>
        <v/>
      </c>
      <c r="AF32" s="19">
        <f>SUMPRODUCT(($A$7:$A$26=1)*($D$7:$D$26)*(AF7:AF26))</f>
        <v/>
      </c>
      <c r="AG32" s="19">
        <f>SUMPRODUCT(($A$7:$A$26=1)*($D$7:$D$26)*(AG7:AG26))</f>
        <v/>
      </c>
      <c r="AH32" s="19">
        <f>SUMPRODUCT(($A$7:$A$26=1)*($D$7:$D$26)*(AH7:AH26))</f>
        <v/>
      </c>
      <c r="AI32" s="19">
        <f>SUMPRODUCT(($A$7:$A$26=1)*($D$7:$D$26)*(AI7:AI26))</f>
        <v/>
      </c>
      <c r="AL32" s="10" t="inlineStr">
        <is>
          <t>Bad happened</t>
        </is>
      </c>
      <c r="AM32" s="25">
        <f>SUMPRODUCT(($E$6:$AI$6&lt;=$B$3)*(E31:AI31))</f>
        <v/>
      </c>
    </row>
    <row r="33">
      <c r="A33" s="8" t="inlineStr">
        <is>
          <t>Completion % (Good only)</t>
        </is>
      </c>
      <c r="E33" s="26">
        <f>IF(SUMPRODUCT(($A$7:$A$26=1)*($C$7:$C$26="Good"))=0,"",SUMPRODUCT(($A$7:$A$26=1)*($C$7:$C$26="Good")*(E7:E26))/SUMPRODUCT(($A$7:$A$26=1)*($C$7:$C$26="Good")))</f>
        <v/>
      </c>
      <c r="F33" s="26">
        <f>IF(SUMPRODUCT(($A$7:$A$26=1)*($C$7:$C$26="Good"))=0,"",SUMPRODUCT(($A$7:$A$26=1)*($C$7:$C$26="Good")*(F7:F26))/SUMPRODUCT(($A$7:$A$26=1)*($C$7:$C$26="Good")))</f>
        <v/>
      </c>
      <c r="G33" s="26">
        <f>IF(SUMPRODUCT(($A$7:$A$26=1)*($C$7:$C$26="Good"))=0,"",SUMPRODUCT(($A$7:$A$26=1)*($C$7:$C$26="Good")*(G7:G26))/SUMPRODUCT(($A$7:$A$26=1)*($C$7:$C$26="Good")))</f>
        <v/>
      </c>
      <c r="H33" s="26">
        <f>IF(SUMPRODUCT(($A$7:$A$26=1)*($C$7:$C$26="Good"))=0,"",SUMPRODUCT(($A$7:$A$26=1)*($C$7:$C$26="Good")*(H7:H26))/SUMPRODUCT(($A$7:$A$26=1)*($C$7:$C$26="Good")))</f>
        <v/>
      </c>
      <c r="I33" s="26">
        <f>IF(SUMPRODUCT(($A$7:$A$26=1)*($C$7:$C$26="Good"))=0,"",SUMPRODUCT(($A$7:$A$26=1)*($C$7:$C$26="Good")*(I7:I26))/SUMPRODUCT(($A$7:$A$26=1)*($C$7:$C$26="Good")))</f>
        <v/>
      </c>
      <c r="J33" s="26">
        <f>IF(SUMPRODUCT(($A$7:$A$26=1)*($C$7:$C$26="Good"))=0,"",SUMPRODUCT(($A$7:$A$26=1)*($C$7:$C$26="Good")*(J7:J26))/SUMPRODUCT(($A$7:$A$26=1)*($C$7:$C$26="Good")))</f>
        <v/>
      </c>
      <c r="K33" s="26">
        <f>IF(SUMPRODUCT(($A$7:$A$26=1)*($C$7:$C$26="Good"))=0,"",SUMPRODUCT(($A$7:$A$26=1)*($C$7:$C$26="Good")*(K7:K26))/SUMPRODUCT(($A$7:$A$26=1)*($C$7:$C$26="Good")))</f>
        <v/>
      </c>
      <c r="L33" s="26">
        <f>IF(SUMPRODUCT(($A$7:$A$26=1)*($C$7:$C$26="Good"))=0,"",SUMPRODUCT(($A$7:$A$26=1)*($C$7:$C$26="Good")*(L7:L26))/SUMPRODUCT(($A$7:$A$26=1)*($C$7:$C$26="Good")))</f>
        <v/>
      </c>
      <c r="M33" s="26">
        <f>IF(SUMPRODUCT(($A$7:$A$26=1)*($C$7:$C$26="Good"))=0,"",SUMPRODUCT(($A$7:$A$26=1)*($C$7:$C$26="Good")*(M7:M26))/SUMPRODUCT(($A$7:$A$26=1)*($C$7:$C$26="Good")))</f>
        <v/>
      </c>
      <c r="N33" s="26">
        <f>IF(SUMPRODUCT(($A$7:$A$26=1)*($C$7:$C$26="Good"))=0,"",SUMPRODUCT(($A$7:$A$26=1)*($C$7:$C$26="Good")*(N7:N26))/SUMPRODUCT(($A$7:$A$26=1)*($C$7:$C$26="Good")))</f>
        <v/>
      </c>
      <c r="O33" s="26">
        <f>IF(SUMPRODUCT(($A$7:$A$26=1)*($C$7:$C$26="Good"))=0,"",SUMPRODUCT(($A$7:$A$26=1)*($C$7:$C$26="Good")*(O7:O26))/SUMPRODUCT(($A$7:$A$26=1)*($C$7:$C$26="Good")))</f>
        <v/>
      </c>
      <c r="P33" s="26">
        <f>IF(SUMPRODUCT(($A$7:$A$26=1)*($C$7:$C$26="Good"))=0,"",SUMPRODUCT(($A$7:$A$26=1)*($C$7:$C$26="Good")*(P7:P26))/SUMPRODUCT(($A$7:$A$26=1)*($C$7:$C$26="Good")))</f>
        <v/>
      </c>
      <c r="Q33" s="26">
        <f>IF(SUMPRODUCT(($A$7:$A$26=1)*($C$7:$C$26="Good"))=0,"",SUMPRODUCT(($A$7:$A$26=1)*($C$7:$C$26="Good")*(Q7:Q26))/SUMPRODUCT(($A$7:$A$26=1)*($C$7:$C$26="Good")))</f>
        <v/>
      </c>
      <c r="R33" s="26">
        <f>IF(SUMPRODUCT(($A$7:$A$26=1)*($C$7:$C$26="Good"))=0,"",SUMPRODUCT(($A$7:$A$26=1)*($C$7:$C$26="Good")*(R7:R26))/SUMPRODUCT(($A$7:$A$26=1)*($C$7:$C$26="Good")))</f>
        <v/>
      </c>
      <c r="S33" s="26">
        <f>IF(SUMPRODUCT(($A$7:$A$26=1)*($C$7:$C$26="Good"))=0,"",SUMPRODUCT(($A$7:$A$26=1)*($C$7:$C$26="Good")*(S7:S26))/SUMPRODUCT(($A$7:$A$26=1)*($C$7:$C$26="Good")))</f>
        <v/>
      </c>
      <c r="T33" s="26">
        <f>IF(SUMPRODUCT(($A$7:$A$26=1)*($C$7:$C$26="Good"))=0,"",SUMPRODUCT(($A$7:$A$26=1)*($C$7:$C$26="Good")*(T7:T26))/SUMPRODUCT(($A$7:$A$26=1)*($C$7:$C$26="Good")))</f>
        <v/>
      </c>
      <c r="U33" s="26">
        <f>IF(SUMPRODUCT(($A$7:$A$26=1)*($C$7:$C$26="Good"))=0,"",SUMPRODUCT(($A$7:$A$26=1)*($C$7:$C$26="Good")*(U7:U26))/SUMPRODUCT(($A$7:$A$26=1)*($C$7:$C$26="Good")))</f>
        <v/>
      </c>
      <c r="V33" s="26">
        <f>IF(SUMPRODUCT(($A$7:$A$26=1)*($C$7:$C$26="Good"))=0,"",SUMPRODUCT(($A$7:$A$26=1)*($C$7:$C$26="Good")*(V7:V26))/SUMPRODUCT(($A$7:$A$26=1)*($C$7:$C$26="Good")))</f>
        <v/>
      </c>
      <c r="W33" s="26">
        <f>IF(SUMPRODUCT(($A$7:$A$26=1)*($C$7:$C$26="Good"))=0,"",SUMPRODUCT(($A$7:$A$26=1)*($C$7:$C$26="Good")*(W7:W26))/SUMPRODUCT(($A$7:$A$26=1)*($C$7:$C$26="Good")))</f>
        <v/>
      </c>
      <c r="X33" s="26">
        <f>IF(SUMPRODUCT(($A$7:$A$26=1)*($C$7:$C$26="Good"))=0,"",SUMPRODUCT(($A$7:$A$26=1)*($C$7:$C$26="Good")*(X7:X26))/SUMPRODUCT(($A$7:$A$26=1)*($C$7:$C$26="Good")))</f>
        <v/>
      </c>
      <c r="Y33" s="26">
        <f>IF(SUMPRODUCT(($A$7:$A$26=1)*($C$7:$C$26="Good"))=0,"",SUMPRODUCT(($A$7:$A$26=1)*($C$7:$C$26="Good")*(Y7:Y26))/SUMPRODUCT(($A$7:$A$26=1)*($C$7:$C$26="Good")))</f>
        <v/>
      </c>
      <c r="Z33" s="26">
        <f>IF(SUMPRODUCT(($A$7:$A$26=1)*($C$7:$C$26="Good"))=0,"",SUMPRODUCT(($A$7:$A$26=1)*($C$7:$C$26="Good")*(Z7:Z26))/SUMPRODUCT(($A$7:$A$26=1)*($C$7:$C$26="Good")))</f>
        <v/>
      </c>
      <c r="AA33" s="26">
        <f>IF(SUMPRODUCT(($A$7:$A$26=1)*($C$7:$C$26="Good"))=0,"",SUMPRODUCT(($A$7:$A$26=1)*($C$7:$C$26="Good")*(AA7:AA26))/SUMPRODUCT(($A$7:$A$26=1)*($C$7:$C$26="Good")))</f>
        <v/>
      </c>
      <c r="AB33" s="26">
        <f>IF(SUMPRODUCT(($A$7:$A$26=1)*($C$7:$C$26="Good"))=0,"",SUMPRODUCT(($A$7:$A$26=1)*($C$7:$C$26="Good")*(AB7:AB26))/SUMPRODUCT(($A$7:$A$26=1)*($C$7:$C$26="Good")))</f>
        <v/>
      </c>
      <c r="AC33" s="26">
        <f>IF(SUMPRODUCT(($A$7:$A$26=1)*($C$7:$C$26="Good"))=0,"",SUMPRODUCT(($A$7:$A$26=1)*($C$7:$C$26="Good")*(AC7:AC26))/SUMPRODUCT(($A$7:$A$26=1)*($C$7:$C$26="Good")))</f>
        <v/>
      </c>
      <c r="AD33" s="26">
        <f>IF(SUMPRODUCT(($A$7:$A$26=1)*($C$7:$C$26="Good"))=0,"",SUMPRODUCT(($A$7:$A$26=1)*($C$7:$C$26="Good")*(AD7:AD26))/SUMPRODUCT(($A$7:$A$26=1)*($C$7:$C$26="Good")))</f>
        <v/>
      </c>
      <c r="AE33" s="26">
        <f>IF(SUMPRODUCT(($A$7:$A$26=1)*($C$7:$C$26="Good"))=0,"",SUMPRODUCT(($A$7:$A$26=1)*($C$7:$C$26="Good")*(AE7:AE26))/SUMPRODUCT(($A$7:$A$26=1)*($C$7:$C$26="Good")))</f>
        <v/>
      </c>
      <c r="AF33" s="26">
        <f>IF(SUMPRODUCT(($A$7:$A$26=1)*($C$7:$C$26="Good"))=0,"",SUMPRODUCT(($A$7:$A$26=1)*($C$7:$C$26="Good")*(AF7:AF26))/SUMPRODUCT(($A$7:$A$26=1)*($C$7:$C$26="Good")))</f>
        <v/>
      </c>
      <c r="AG33" s="26">
        <f>IF(SUMPRODUCT(($A$7:$A$26=1)*($C$7:$C$26="Good"))=0,"",SUMPRODUCT(($A$7:$A$26=1)*($C$7:$C$26="Good")*(AG7:AG26))/SUMPRODUCT(($A$7:$A$26=1)*($C$7:$C$26="Good")))</f>
        <v/>
      </c>
      <c r="AH33" s="26">
        <f>IF(SUMPRODUCT(($A$7:$A$26=1)*($C$7:$C$26="Good"))=0,"",SUMPRODUCT(($A$7:$A$26=1)*($C$7:$C$26="Good")*(AH7:AH26))/SUMPRODUCT(($A$7:$A$26=1)*($C$7:$C$26="Good")))</f>
        <v/>
      </c>
      <c r="AI33" s="26">
        <f>IF(SUMPRODUCT(($A$7:$A$26=1)*($C$7:$C$26="Good"))=0,"",SUMPRODUCT(($A$7:$A$26=1)*($C$7:$C$26="Good")*(AI7:AI26))/SUMPRODUCT(($A$7:$A$26=1)*($C$7:$C$26="Good")))</f>
        <v/>
      </c>
      <c r="AL33" s="10" t="inlineStr">
        <is>
          <t>Net score</t>
        </is>
      </c>
      <c r="AM33" s="25">
        <f>SUMPRODUCT(($E$6:$AI$6&lt;=$B$3)*(E32:AI32))</f>
        <v/>
      </c>
    </row>
    <row r="34">
      <c r="AL34" s="10" t="inlineStr">
        <is>
          <t>Avg completion (Good)</t>
        </is>
      </c>
      <c r="AM34" s="27">
        <f>AVERAGEIF($E$6:$AI$6,"&lt;="&amp;$B$3,E33:AI33)</f>
        <v/>
      </c>
    </row>
  </sheetData>
  <mergeCells count="6">
    <mergeCell ref="A31:D31"/>
    <mergeCell ref="A1:AI1"/>
    <mergeCell ref="A30:D30"/>
    <mergeCell ref="A29:D29"/>
    <mergeCell ref="A33:D33"/>
    <mergeCell ref="A32:D32"/>
  </mergeCells>
  <conditionalFormatting sqref="E7:AI26">
    <cfRule type="expression" priority="1" dxfId="0">
      <formula>E7=1</formula>
    </cfRule>
  </conditionalFormatting>
  <conditionalFormatting sqref="E5:E33">
    <cfRule type="expression" priority="2" dxfId="1">
      <formula>E$6&gt;$B$3</formula>
    </cfRule>
  </conditionalFormatting>
  <conditionalFormatting sqref="F5:F33">
    <cfRule type="expression" priority="3" dxfId="1">
      <formula>F$6&gt;$B$3</formula>
    </cfRule>
  </conditionalFormatting>
  <conditionalFormatting sqref="G5:G33">
    <cfRule type="expression" priority="4" dxfId="1">
      <formula>G$6&gt;$B$3</formula>
    </cfRule>
  </conditionalFormatting>
  <conditionalFormatting sqref="H5:H33">
    <cfRule type="expression" priority="5" dxfId="1">
      <formula>H$6&gt;$B$3</formula>
    </cfRule>
  </conditionalFormatting>
  <conditionalFormatting sqref="I5:I33">
    <cfRule type="expression" priority="6" dxfId="1">
      <formula>I$6&gt;$B$3</formula>
    </cfRule>
  </conditionalFormatting>
  <conditionalFormatting sqref="J5:J33">
    <cfRule type="expression" priority="7" dxfId="1">
      <formula>J$6&gt;$B$3</formula>
    </cfRule>
  </conditionalFormatting>
  <conditionalFormatting sqref="K5:K33">
    <cfRule type="expression" priority="8" dxfId="1">
      <formula>K$6&gt;$B$3</formula>
    </cfRule>
  </conditionalFormatting>
  <conditionalFormatting sqref="L5:L33">
    <cfRule type="expression" priority="9" dxfId="1">
      <formula>L$6&gt;$B$3</formula>
    </cfRule>
  </conditionalFormatting>
  <conditionalFormatting sqref="M5:M33">
    <cfRule type="expression" priority="10" dxfId="1">
      <formula>M$6&gt;$B$3</formula>
    </cfRule>
  </conditionalFormatting>
  <conditionalFormatting sqref="N5:N33">
    <cfRule type="expression" priority="11" dxfId="1">
      <formula>N$6&gt;$B$3</formula>
    </cfRule>
  </conditionalFormatting>
  <conditionalFormatting sqref="O5:O33">
    <cfRule type="expression" priority="12" dxfId="1">
      <formula>O$6&gt;$B$3</formula>
    </cfRule>
  </conditionalFormatting>
  <conditionalFormatting sqref="P5:P33">
    <cfRule type="expression" priority="13" dxfId="1">
      <formula>P$6&gt;$B$3</formula>
    </cfRule>
  </conditionalFormatting>
  <conditionalFormatting sqref="Q5:Q33">
    <cfRule type="expression" priority="14" dxfId="1">
      <formula>Q$6&gt;$B$3</formula>
    </cfRule>
  </conditionalFormatting>
  <conditionalFormatting sqref="R5:R33">
    <cfRule type="expression" priority="15" dxfId="1">
      <formula>R$6&gt;$B$3</formula>
    </cfRule>
  </conditionalFormatting>
  <conditionalFormatting sqref="S5:S33">
    <cfRule type="expression" priority="16" dxfId="1">
      <formula>S$6&gt;$B$3</formula>
    </cfRule>
  </conditionalFormatting>
  <conditionalFormatting sqref="T5:T33">
    <cfRule type="expression" priority="17" dxfId="1">
      <formula>T$6&gt;$B$3</formula>
    </cfRule>
  </conditionalFormatting>
  <conditionalFormatting sqref="U5:U33">
    <cfRule type="expression" priority="18" dxfId="1">
      <formula>U$6&gt;$B$3</formula>
    </cfRule>
  </conditionalFormatting>
  <conditionalFormatting sqref="V5:V33">
    <cfRule type="expression" priority="19" dxfId="1">
      <formula>V$6&gt;$B$3</formula>
    </cfRule>
  </conditionalFormatting>
  <conditionalFormatting sqref="W5:W33">
    <cfRule type="expression" priority="20" dxfId="1">
      <formula>W$6&gt;$B$3</formula>
    </cfRule>
  </conditionalFormatting>
  <conditionalFormatting sqref="X5:X33">
    <cfRule type="expression" priority="21" dxfId="1">
      <formula>X$6&gt;$B$3</formula>
    </cfRule>
  </conditionalFormatting>
  <conditionalFormatting sqref="Y5:Y33">
    <cfRule type="expression" priority="22" dxfId="1">
      <formula>Y$6&gt;$B$3</formula>
    </cfRule>
  </conditionalFormatting>
  <conditionalFormatting sqref="Z5:Z33">
    <cfRule type="expression" priority="23" dxfId="1">
      <formula>Z$6&gt;$B$3</formula>
    </cfRule>
  </conditionalFormatting>
  <conditionalFormatting sqref="AA5:AA33">
    <cfRule type="expression" priority="24" dxfId="1">
      <formula>AA$6&gt;$B$3</formula>
    </cfRule>
  </conditionalFormatting>
  <conditionalFormatting sqref="AB5:AB33">
    <cfRule type="expression" priority="25" dxfId="1">
      <formula>AB$6&gt;$B$3</formula>
    </cfRule>
  </conditionalFormatting>
  <conditionalFormatting sqref="AC5:AC33">
    <cfRule type="expression" priority="26" dxfId="1">
      <formula>AC$6&gt;$B$3</formula>
    </cfRule>
  </conditionalFormatting>
  <conditionalFormatting sqref="AD5:AD33">
    <cfRule type="expression" priority="27" dxfId="1">
      <formula>AD$6&gt;$B$3</formula>
    </cfRule>
  </conditionalFormatting>
  <conditionalFormatting sqref="AE5:AE33">
    <cfRule type="expression" priority="28" dxfId="1">
      <formula>AE$6&gt;$B$3</formula>
    </cfRule>
  </conditionalFormatting>
  <conditionalFormatting sqref="AF5:AF33">
    <cfRule type="expression" priority="29" dxfId="1">
      <formula>AF$6&gt;$B$3</formula>
    </cfRule>
  </conditionalFormatting>
  <conditionalFormatting sqref="AG5:AG33">
    <cfRule type="expression" priority="30" dxfId="1">
      <formula>AG$6&gt;$B$3</formula>
    </cfRule>
  </conditionalFormatting>
  <conditionalFormatting sqref="AH5:AH33">
    <cfRule type="expression" priority="31" dxfId="1">
      <formula>AH$6&gt;$B$3</formula>
    </cfRule>
  </conditionalFormatting>
  <conditionalFormatting sqref="AI5:AI33">
    <cfRule type="expression" priority="32" dxfId="1">
      <formula>AI$6&gt;$B$3</formula>
    </cfRule>
  </conditionalFormatting>
  <dataValidations count="1">
    <dataValidation sqref="E7 E8 E9 E10 E11 E12 E13 E14 E15 E16 E17 E18 E19 E20 E21 E22 E23 E24 E25 E26 F7 F8 F9 F10 F11 F12 F13 F14 F15 F16 F17 F18 F19 F20 F21 F22 F23 F24 F25 F26 G7 G8 G9 G10 G11 G12 G13 G14 G15 G16 G17 G18 G19 G20 G21 G22 G23 G24 G25 G26 H7 H8 H9 H10 H11 H12 H13 H14 H15 H16 H17 H18 H19 H20 H21 H22 H23 H24 H25 H26 I7 I8 I9 I10 I11 I12 I13 I14 I15 I16 I17 I18 I19 I20 I21 I22 I23 I24 I25 I26 J7 J8 J9 J10 J11 J12 J13 J14 J15 J16 J17 J18 J19 J20 J21 J22 J23 J24 J25 J26 K7 K8 K9 K10 K11 K12 K13 K14 K15 K16 K17 K18 K19 K20 K21 K22 K23 K24 K25 K26 L7 L8 L9 L10 L11 L12 L13 L14 L15 L16 L17 L18 L19 L20 L21 L22 L23 L24 L25 L26 M7 M8 M9 M10 M11 M12 M13 M14 M15 M16 M17 M18 M19 M20 M21 M22 M23 M24 M25 M26 N7 N8 N9 N10 N11 N12 N13 N14 N15 N16 N17 N18 N19 N20 N21 N22 N23 N24 N25 N26 O7 O8 O9 O10 O11 O12 O13 O14 O15 O16 O17 O18 O19 O20 O21 O22 O23 O24 O25 O26 P7 P8 P9 P10 P11 P12 P13 P14 P15 P16 P17 P18 P19 P20 P21 P22 P23 P24 P25 P26 Q7 Q8 Q9 Q10 Q11 Q12 Q13 Q14 Q15 Q16 Q17 Q18 Q19 Q20 Q21 Q22 Q23 Q24 Q25 Q26 R7 R8 R9 R10 R11 R12 R13 R14 R15 R16 R17 R18 R19 R20 R21 R22 R23 R24 R25 R26 S7 S8 S9 S10 S11 S12 S13 S14 S15 S16 S17 S18 S19 S20 S21 S22 S23 S24 S25 S26 T7 T8 T9 T10 T11 T12 T13 T14 T15 T16 T17 T18 T19 T20 T21 T22 T23 T24 T25 T26 U7 U8 U9 U10 U11 U12 U13 U14 U15 U16 U17 U18 U19 U20 U21 U22 U23 U24 U25 U26 V7 V8 V9 V10 V11 V12 V13 V14 V15 V16 V17 V18 V19 V20 V21 V22 V23 V24 V25 V26 W7 W8 W9 W10 W11 W12 W13 W14 W15 W16 W17 W18 W19 W20 W21 W22 W23 W24 W25 W26 X7 X8 X9 X10 X11 X12 X13 X14 X15 X16 X17 X18 X19 X20 X21 X22 X23 X24 X25 X26 Y7 Y8 Y9 Y10 Y11 Y12 Y13 Y14 Y15 Y16 Y17 Y18 Y19 Y20 Y21 Y22 Y23 Y24 Y25 Y26 Z7 Z8 Z9 Z10 Z11 Z12 Z13 Z14 Z15 Z16 Z17 Z18 Z19 Z20 Z21 Z22 Z23 Z24 Z25 Z26 AA7 AA8 AA9 AA10 AA11 AA12 AA13 AA14 AA15 AA16 AA17 AA18 AA19 AA20 AA21 AA22 AA23 AA24 AA25 AA26 AB7 AB8 AB9 AB10 AB11 AB12 AB13 AB14 AB15 AB16 AB17 AB18 AB19 AB20 AB21 AB22 AB23 AB24 AB25 AB26 AC7 AC8 AC9 AC10 AC11 AC12 AC13 AC14 AC15 AC16 AC17 AC18 AC19 AC20 AC21 AC22 AC23 AC24 AC25 AC26 AD7 AD8 AD9 AD10 AD11 AD12 AD13 AD14 AD15 AD16 AD17 AD18 AD19 AD20 AD21 AD22 AD23 AD24 AD25 AD26 AE7 AE8 AE9 AE10 AE11 AE12 AE13 AE14 AE15 AE16 AE17 AE18 AE19 AE20 AE21 AE22 AE23 AE24 AE25 AE26 AF7 AF8 AF9 AF10 AF11 AF12 AF13 AF14 AF15 AF16 AF17 AF18 AF19 AF20 AF21 AF22 AF23 AF24 AF25 AF26 AG7 AG8 AG9 AG10 AG11 AG12 AG13 AG14 AG15 AG16 AG17 AG18 AG19 AG20 AG21 AG22 AG23 AG24 AG25 AG26 AH7 AH8 AH9 AH10 AH11 AH12 AH13 AH14 AH15 AH16 AH17 AH18 AH19 AH20 AH21 AH22 AH23 AH24 AH25 AH26 AI7 AI8 AI9 AI10 AI11 AI12 AI13 AI14 AI15 AI16 AI17 AI18 AI19 AI20 AI21 AI22 AI23 AI24 AI25 AI26" showDropDown="0" showInputMessage="0" showErrorMessage="0" allowBlank="1" type="list">
      <formula1>"0,1"</formula1>
    </dataValidation>
  </dataValidation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M3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9"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7" customWidth="1" min="36" max="36"/>
    <col width="18" customWidth="1" min="38" max="38"/>
    <col width="12" customWidth="1" min="39" max="39"/>
  </cols>
  <sheetData>
    <row r="1">
      <c r="A1" s="15" t="inlineStr">
        <is>
          <t>Aug Habit Tracker</t>
        </is>
      </c>
    </row>
    <row r="2">
      <c r="A2" s="10" t="inlineStr">
        <is>
          <t>Year:</t>
        </is>
      </c>
      <c r="B2">
        <f>Setup!$B$3</f>
        <v/>
      </c>
      <c r="C2" s="10" t="inlineStr">
        <is>
          <t>Month:</t>
        </is>
      </c>
      <c r="D2" t="inlineStr">
        <is>
          <t>Aug</t>
        </is>
      </c>
    </row>
    <row r="3">
      <c r="A3" s="10" t="inlineStr">
        <is>
          <t>Days in month:</t>
        </is>
      </c>
      <c r="B3">
        <f>DAY(EOMONTH(DATE(Setup!$B$3,8,1),0))</f>
        <v/>
      </c>
    </row>
    <row r="5" ht="18" customHeight="1">
      <c r="E5" s="16">
        <f>TEXT(DATE(Setup!$B$3,8,1),"ddd")</f>
        <v/>
      </c>
      <c r="F5" s="16">
        <f>TEXT(DATE(Setup!$B$3,8,2),"ddd")</f>
        <v/>
      </c>
      <c r="G5" s="16">
        <f>TEXT(DATE(Setup!$B$3,8,3),"ddd")</f>
        <v/>
      </c>
      <c r="H5" s="16">
        <f>TEXT(DATE(Setup!$B$3,8,4),"ddd")</f>
        <v/>
      </c>
      <c r="I5" s="16">
        <f>TEXT(DATE(Setup!$B$3,8,5),"ddd")</f>
        <v/>
      </c>
      <c r="J5" s="16">
        <f>TEXT(DATE(Setup!$B$3,8,6),"ddd")</f>
        <v/>
      </c>
      <c r="K5" s="16">
        <f>TEXT(DATE(Setup!$B$3,8,7),"ddd")</f>
        <v/>
      </c>
      <c r="L5" s="16">
        <f>TEXT(DATE(Setup!$B$3,8,8),"ddd")</f>
        <v/>
      </c>
      <c r="M5" s="16">
        <f>TEXT(DATE(Setup!$B$3,8,9),"ddd")</f>
        <v/>
      </c>
      <c r="N5" s="16">
        <f>TEXT(DATE(Setup!$B$3,8,10),"ddd")</f>
        <v/>
      </c>
      <c r="O5" s="16">
        <f>TEXT(DATE(Setup!$B$3,8,11),"ddd")</f>
        <v/>
      </c>
      <c r="P5" s="16">
        <f>TEXT(DATE(Setup!$B$3,8,12),"ddd")</f>
        <v/>
      </c>
      <c r="Q5" s="16">
        <f>TEXT(DATE(Setup!$B$3,8,13),"ddd")</f>
        <v/>
      </c>
      <c r="R5" s="16">
        <f>TEXT(DATE(Setup!$B$3,8,14),"ddd")</f>
        <v/>
      </c>
      <c r="S5" s="16">
        <f>TEXT(DATE(Setup!$B$3,8,15),"ddd")</f>
        <v/>
      </c>
      <c r="T5" s="16">
        <f>TEXT(DATE(Setup!$B$3,8,16),"ddd")</f>
        <v/>
      </c>
      <c r="U5" s="16">
        <f>TEXT(DATE(Setup!$B$3,8,17),"ddd")</f>
        <v/>
      </c>
      <c r="V5" s="16">
        <f>TEXT(DATE(Setup!$B$3,8,18),"ddd")</f>
        <v/>
      </c>
      <c r="W5" s="16">
        <f>TEXT(DATE(Setup!$B$3,8,19),"ddd")</f>
        <v/>
      </c>
      <c r="X5" s="16">
        <f>TEXT(DATE(Setup!$B$3,8,20),"ddd")</f>
        <v/>
      </c>
      <c r="Y5" s="16">
        <f>TEXT(DATE(Setup!$B$3,8,21),"ddd")</f>
        <v/>
      </c>
      <c r="Z5" s="16">
        <f>TEXT(DATE(Setup!$B$3,8,22),"ddd")</f>
        <v/>
      </c>
      <c r="AA5" s="16">
        <f>TEXT(DATE(Setup!$B$3,8,23),"ddd")</f>
        <v/>
      </c>
      <c r="AB5" s="16">
        <f>TEXT(DATE(Setup!$B$3,8,24),"ddd")</f>
        <v/>
      </c>
      <c r="AC5" s="16">
        <f>TEXT(DATE(Setup!$B$3,8,25),"ddd")</f>
        <v/>
      </c>
      <c r="AD5" s="16">
        <f>TEXT(DATE(Setup!$B$3,8,26),"ddd")</f>
        <v/>
      </c>
      <c r="AE5" s="16">
        <f>TEXT(DATE(Setup!$B$3,8,27),"ddd")</f>
        <v/>
      </c>
      <c r="AF5" s="16">
        <f>TEXT(DATE(Setup!$B$3,8,28),"ddd")</f>
        <v/>
      </c>
      <c r="AG5" s="16">
        <f>TEXT(DATE(Setup!$B$3,8,29),"ddd")</f>
        <v/>
      </c>
      <c r="AH5" s="16">
        <f>TEXT(DATE(Setup!$B$3,8,30),"ddd")</f>
        <v/>
      </c>
      <c r="AI5" s="16">
        <f>TEXT(DATE(Setup!$B$3,8,31),"ddd")</f>
        <v/>
      </c>
    </row>
    <row r="6" ht="18" customHeight="1">
      <c r="A6" s="17" t="inlineStr">
        <is>
          <t>Active</t>
        </is>
      </c>
      <c r="B6" s="17" t="inlineStr">
        <is>
          <t>Habit</t>
        </is>
      </c>
      <c r="C6" s="17" t="inlineStr">
        <is>
          <t>Type</t>
        </is>
      </c>
      <c r="D6" s="17" t="inlineStr">
        <is>
          <t>Points</t>
        </is>
      </c>
      <c r="E6" s="18" t="n">
        <v>1</v>
      </c>
      <c r="F6" s="18" t="n">
        <v>2</v>
      </c>
      <c r="G6" s="18" t="n">
        <v>3</v>
      </c>
      <c r="H6" s="18" t="n">
        <v>4</v>
      </c>
      <c r="I6" s="18" t="n">
        <v>5</v>
      </c>
      <c r="J6" s="18" t="n">
        <v>6</v>
      </c>
      <c r="K6" s="18" t="n">
        <v>7</v>
      </c>
      <c r="L6" s="18" t="n">
        <v>8</v>
      </c>
      <c r="M6" s="18" t="n">
        <v>9</v>
      </c>
      <c r="N6" s="18" t="n">
        <v>10</v>
      </c>
      <c r="O6" s="18" t="n">
        <v>11</v>
      </c>
      <c r="P6" s="18" t="n">
        <v>12</v>
      </c>
      <c r="Q6" s="18" t="n">
        <v>13</v>
      </c>
      <c r="R6" s="18" t="n">
        <v>14</v>
      </c>
      <c r="S6" s="18" t="n">
        <v>15</v>
      </c>
      <c r="T6" s="18" t="n">
        <v>16</v>
      </c>
      <c r="U6" s="18" t="n">
        <v>17</v>
      </c>
      <c r="V6" s="18" t="n">
        <v>18</v>
      </c>
      <c r="W6" s="18" t="n">
        <v>19</v>
      </c>
      <c r="X6" s="18" t="n">
        <v>20</v>
      </c>
      <c r="Y6" s="18" t="n">
        <v>21</v>
      </c>
      <c r="Z6" s="18" t="n">
        <v>22</v>
      </c>
      <c r="AA6" s="18" t="n">
        <v>23</v>
      </c>
      <c r="AB6" s="18" t="n">
        <v>24</v>
      </c>
      <c r="AC6" s="18" t="n">
        <v>25</v>
      </c>
      <c r="AD6" s="18" t="n">
        <v>26</v>
      </c>
      <c r="AE6" s="18" t="n">
        <v>27</v>
      </c>
      <c r="AF6" s="18" t="n">
        <v>28</v>
      </c>
      <c r="AG6" s="18" t="n">
        <v>29</v>
      </c>
      <c r="AH6" s="18" t="n">
        <v>30</v>
      </c>
      <c r="AI6" s="18" t="n">
        <v>31</v>
      </c>
      <c r="AJ6" s="17" t="inlineStr">
        <is>
          <t>Total</t>
        </is>
      </c>
    </row>
    <row r="7">
      <c r="A7" s="19">
        <f>Setup!D9</f>
        <v/>
      </c>
      <c r="B7" s="20">
        <f>Setup!A9</f>
        <v/>
      </c>
      <c r="C7" s="19">
        <f>Setup!B9</f>
        <v/>
      </c>
      <c r="D7" s="19">
        <f>Setup!E9</f>
        <v/>
      </c>
      <c r="E7" s="21" t="inlineStr"/>
      <c r="F7" s="21" t="inlineStr"/>
      <c r="G7" s="21" t="inlineStr"/>
      <c r="H7" s="21" t="inlineStr"/>
      <c r="I7" s="21" t="inlineStr"/>
      <c r="J7" s="21" t="inlineStr"/>
      <c r="K7" s="21" t="inlineStr"/>
      <c r="L7" s="21" t="inlineStr"/>
      <c r="M7" s="21" t="inlineStr"/>
      <c r="N7" s="21" t="inlineStr"/>
      <c r="O7" s="21" t="inlineStr"/>
      <c r="P7" s="21" t="inlineStr"/>
      <c r="Q7" s="21" t="inlineStr"/>
      <c r="R7" s="21" t="inlineStr"/>
      <c r="S7" s="21" t="inlineStr"/>
      <c r="T7" s="21" t="inlineStr"/>
      <c r="U7" s="21" t="inlineStr"/>
      <c r="V7" s="21" t="inlineStr"/>
      <c r="W7" s="21" t="inlineStr"/>
      <c r="X7" s="21" t="inlineStr"/>
      <c r="Y7" s="21" t="inlineStr"/>
      <c r="Z7" s="21" t="inlineStr"/>
      <c r="AA7" s="21" t="inlineStr"/>
      <c r="AB7" s="21" t="inlineStr"/>
      <c r="AC7" s="21" t="inlineStr"/>
      <c r="AD7" s="21" t="inlineStr"/>
      <c r="AE7" s="21" t="inlineStr"/>
      <c r="AF7" s="21" t="inlineStr"/>
      <c r="AG7" s="21" t="inlineStr"/>
      <c r="AH7" s="21" t="inlineStr"/>
      <c r="AI7" s="21" t="inlineStr"/>
      <c r="AJ7" s="22">
        <f>IF($A7=1,SUMPRODUCT(($E$6:$AI$6&lt;=$B$3)*(E7:AI7)),"")</f>
        <v/>
      </c>
    </row>
    <row r="8">
      <c r="A8" s="19">
        <f>Setup!D10</f>
        <v/>
      </c>
      <c r="B8" s="20">
        <f>Setup!A10</f>
        <v/>
      </c>
      <c r="C8" s="19">
        <f>Setup!B10</f>
        <v/>
      </c>
      <c r="D8" s="19">
        <f>Setup!E10</f>
        <v/>
      </c>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2">
        <f>IF($A8=1,SUMPRODUCT(($E$6:$AI$6&lt;=$B$3)*(E8:AI8)),"")</f>
        <v/>
      </c>
    </row>
    <row r="9">
      <c r="A9" s="19">
        <f>Setup!D11</f>
        <v/>
      </c>
      <c r="B9" s="20">
        <f>Setup!A11</f>
        <v/>
      </c>
      <c r="C9" s="19">
        <f>Setup!B11</f>
        <v/>
      </c>
      <c r="D9" s="19">
        <f>Setup!E11</f>
        <v/>
      </c>
      <c r="E9" s="21" t="inlineStr"/>
      <c r="F9" s="21" t="inlineStr"/>
      <c r="G9" s="21" t="inlineStr"/>
      <c r="H9" s="21" t="inlineStr"/>
      <c r="I9" s="21" t="inlineStr"/>
      <c r="J9" s="21" t="inlineStr"/>
      <c r="K9" s="21" t="inlineStr"/>
      <c r="L9" s="21" t="inlineStr"/>
      <c r="M9" s="21" t="inlineStr"/>
      <c r="N9" s="21" t="inlineStr"/>
      <c r="O9" s="21" t="inlineStr"/>
      <c r="P9" s="21" t="inlineStr"/>
      <c r="Q9" s="21" t="inlineStr"/>
      <c r="R9" s="21" t="inlineStr"/>
      <c r="S9" s="21" t="inlineStr"/>
      <c r="T9" s="21" t="inlineStr"/>
      <c r="U9" s="21" t="inlineStr"/>
      <c r="V9" s="21" t="inlineStr"/>
      <c r="W9" s="21" t="inlineStr"/>
      <c r="X9" s="21" t="inlineStr"/>
      <c r="Y9" s="21" t="inlineStr"/>
      <c r="Z9" s="21" t="inlineStr"/>
      <c r="AA9" s="21" t="inlineStr"/>
      <c r="AB9" s="21" t="inlineStr"/>
      <c r="AC9" s="21" t="inlineStr"/>
      <c r="AD9" s="21" t="inlineStr"/>
      <c r="AE9" s="21" t="inlineStr"/>
      <c r="AF9" s="21" t="inlineStr"/>
      <c r="AG9" s="21" t="inlineStr"/>
      <c r="AH9" s="21" t="inlineStr"/>
      <c r="AI9" s="21" t="inlineStr"/>
      <c r="AJ9" s="22">
        <f>IF($A9=1,SUMPRODUCT(($E$6:$AI$6&lt;=$B$3)*(E9:AI9)),"")</f>
        <v/>
      </c>
    </row>
    <row r="10">
      <c r="A10" s="19">
        <f>Setup!D12</f>
        <v/>
      </c>
      <c r="B10" s="20">
        <f>Setup!A12</f>
        <v/>
      </c>
      <c r="C10" s="19">
        <f>Setup!B12</f>
        <v/>
      </c>
      <c r="D10" s="19">
        <f>Setup!E12</f>
        <v/>
      </c>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2">
        <f>IF($A10=1,SUMPRODUCT(($E$6:$AI$6&lt;=$B$3)*(E10:AI10)),"")</f>
        <v/>
      </c>
    </row>
    <row r="11">
      <c r="A11" s="19">
        <f>Setup!D13</f>
        <v/>
      </c>
      <c r="B11" s="20">
        <f>Setup!A13</f>
        <v/>
      </c>
      <c r="C11" s="19">
        <f>Setup!B13</f>
        <v/>
      </c>
      <c r="D11" s="19">
        <f>Setup!E13</f>
        <v/>
      </c>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c r="R11" s="21" t="inlineStr"/>
      <c r="S11" s="21" t="inlineStr"/>
      <c r="T11" s="21" t="inlineStr"/>
      <c r="U11" s="21" t="inlineStr"/>
      <c r="V11" s="21" t="inlineStr"/>
      <c r="W11" s="21" t="inlineStr"/>
      <c r="X11" s="21" t="inlineStr"/>
      <c r="Y11" s="21" t="inlineStr"/>
      <c r="Z11" s="21" t="inlineStr"/>
      <c r="AA11" s="21" t="inlineStr"/>
      <c r="AB11" s="21" t="inlineStr"/>
      <c r="AC11" s="21" t="inlineStr"/>
      <c r="AD11" s="21" t="inlineStr"/>
      <c r="AE11" s="21" t="inlineStr"/>
      <c r="AF11" s="21" t="inlineStr"/>
      <c r="AG11" s="21" t="inlineStr"/>
      <c r="AH11" s="21" t="inlineStr"/>
      <c r="AI11" s="21" t="inlineStr"/>
      <c r="AJ11" s="22">
        <f>IF($A11=1,SUMPRODUCT(($E$6:$AI$6&lt;=$B$3)*(E11:AI11)),"")</f>
        <v/>
      </c>
    </row>
    <row r="12">
      <c r="A12" s="19">
        <f>Setup!D14</f>
        <v/>
      </c>
      <c r="B12" s="20">
        <f>Setup!A14</f>
        <v/>
      </c>
      <c r="C12" s="19">
        <f>Setup!B14</f>
        <v/>
      </c>
      <c r="D12" s="19">
        <f>Setup!E14</f>
        <v/>
      </c>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2">
        <f>IF($A12=1,SUMPRODUCT(($E$6:$AI$6&lt;=$B$3)*(E12:AI12)),"")</f>
        <v/>
      </c>
    </row>
    <row r="13">
      <c r="A13" s="19">
        <f>Setup!D15</f>
        <v/>
      </c>
      <c r="B13" s="20">
        <f>Setup!A15</f>
        <v/>
      </c>
      <c r="C13" s="19">
        <f>Setup!B15</f>
        <v/>
      </c>
      <c r="D13" s="19">
        <f>Setup!E15</f>
        <v/>
      </c>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c r="U13" s="21" t="inlineStr"/>
      <c r="V13" s="21" t="inlineStr"/>
      <c r="W13" s="21" t="inlineStr"/>
      <c r="X13" s="21" t="inlineStr"/>
      <c r="Y13" s="21" t="inlineStr"/>
      <c r="Z13" s="21" t="inlineStr"/>
      <c r="AA13" s="21" t="inlineStr"/>
      <c r="AB13" s="21" t="inlineStr"/>
      <c r="AC13" s="21" t="inlineStr"/>
      <c r="AD13" s="21" t="inlineStr"/>
      <c r="AE13" s="21" t="inlineStr"/>
      <c r="AF13" s="21" t="inlineStr"/>
      <c r="AG13" s="21" t="inlineStr"/>
      <c r="AH13" s="21" t="inlineStr"/>
      <c r="AI13" s="21" t="inlineStr"/>
      <c r="AJ13" s="22">
        <f>IF($A13=1,SUMPRODUCT(($E$6:$AI$6&lt;=$B$3)*(E13:AI13)),"")</f>
        <v/>
      </c>
    </row>
    <row r="14">
      <c r="A14" s="19">
        <f>Setup!D16</f>
        <v/>
      </c>
      <c r="B14" s="20">
        <f>Setup!A16</f>
        <v/>
      </c>
      <c r="C14" s="19">
        <f>Setup!B16</f>
        <v/>
      </c>
      <c r="D14" s="19">
        <f>Setup!E16</f>
        <v/>
      </c>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2">
        <f>IF($A14=1,SUMPRODUCT(($E$6:$AI$6&lt;=$B$3)*(E14:AI14)),"")</f>
        <v/>
      </c>
    </row>
    <row r="15">
      <c r="A15" s="19">
        <f>Setup!D17</f>
        <v/>
      </c>
      <c r="B15" s="20">
        <f>Setup!A17</f>
        <v/>
      </c>
      <c r="C15" s="19">
        <f>Setup!B17</f>
        <v/>
      </c>
      <c r="D15" s="19">
        <f>Setup!E17</f>
        <v/>
      </c>
      <c r="E15" s="21" t="inlineStr"/>
      <c r="F15" s="21" t="inlineStr"/>
      <c r="G15" s="21" t="inlineStr"/>
      <c r="H15" s="21" t="inlineStr"/>
      <c r="I15" s="21" t="inlineStr"/>
      <c r="J15" s="21" t="inlineStr"/>
      <c r="K15" s="21" t="inlineStr"/>
      <c r="L15" s="21" t="inlineStr"/>
      <c r="M15" s="21" t="inlineStr"/>
      <c r="N15" s="21" t="inlineStr"/>
      <c r="O15" s="21" t="inlineStr"/>
      <c r="P15" s="21" t="inlineStr"/>
      <c r="Q15" s="21" t="inlineStr"/>
      <c r="R15" s="21" t="inlineStr"/>
      <c r="S15" s="21" t="inlineStr"/>
      <c r="T15" s="21" t="inlineStr"/>
      <c r="U15" s="21" t="inlineStr"/>
      <c r="V15" s="21" t="inlineStr"/>
      <c r="W15" s="21" t="inlineStr"/>
      <c r="X15" s="21" t="inlineStr"/>
      <c r="Y15" s="21" t="inlineStr"/>
      <c r="Z15" s="21" t="inlineStr"/>
      <c r="AA15" s="21" t="inlineStr"/>
      <c r="AB15" s="21" t="inlineStr"/>
      <c r="AC15" s="21" t="inlineStr"/>
      <c r="AD15" s="21" t="inlineStr"/>
      <c r="AE15" s="21" t="inlineStr"/>
      <c r="AF15" s="21" t="inlineStr"/>
      <c r="AG15" s="21" t="inlineStr"/>
      <c r="AH15" s="21" t="inlineStr"/>
      <c r="AI15" s="21" t="inlineStr"/>
      <c r="AJ15" s="22">
        <f>IF($A15=1,SUMPRODUCT(($E$6:$AI$6&lt;=$B$3)*(E15:AI15)),"")</f>
        <v/>
      </c>
    </row>
    <row r="16">
      <c r="A16" s="19">
        <f>Setup!D18</f>
        <v/>
      </c>
      <c r="B16" s="20">
        <f>Setup!A18</f>
        <v/>
      </c>
      <c r="C16" s="19">
        <f>Setup!B18</f>
        <v/>
      </c>
      <c r="D16" s="19">
        <f>Setup!E18</f>
        <v/>
      </c>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2">
        <f>IF($A16=1,SUMPRODUCT(($E$6:$AI$6&lt;=$B$3)*(E16:AI16)),"")</f>
        <v/>
      </c>
    </row>
    <row r="17">
      <c r="A17" s="19">
        <f>Setup!D19</f>
        <v/>
      </c>
      <c r="B17" s="20">
        <f>Setup!A19</f>
        <v/>
      </c>
      <c r="C17" s="19">
        <f>Setup!B19</f>
        <v/>
      </c>
      <c r="D17" s="19">
        <f>Setup!E19</f>
        <v/>
      </c>
      <c r="E17" s="21" t="inlineStr"/>
      <c r="F17" s="21" t="inlineStr"/>
      <c r="G17" s="21" t="inlineStr"/>
      <c r="H17" s="21" t="inlineStr"/>
      <c r="I17" s="21" t="inlineStr"/>
      <c r="J17" s="21" t="inlineStr"/>
      <c r="K17" s="21" t="inlineStr"/>
      <c r="L17" s="21" t="inlineStr"/>
      <c r="M17" s="21" t="inlineStr"/>
      <c r="N17" s="21" t="inlineStr"/>
      <c r="O17" s="21" t="inlineStr"/>
      <c r="P17" s="21" t="inlineStr"/>
      <c r="Q17" s="21" t="inlineStr"/>
      <c r="R17" s="21" t="inlineStr"/>
      <c r="S17" s="21" t="inlineStr"/>
      <c r="T17" s="21" t="inlineStr"/>
      <c r="U17" s="21" t="inlineStr"/>
      <c r="V17" s="21" t="inlineStr"/>
      <c r="W17" s="21" t="inlineStr"/>
      <c r="X17" s="21" t="inlineStr"/>
      <c r="Y17" s="21" t="inlineStr"/>
      <c r="Z17" s="21" t="inlineStr"/>
      <c r="AA17" s="21" t="inlineStr"/>
      <c r="AB17" s="21" t="inlineStr"/>
      <c r="AC17" s="21" t="inlineStr"/>
      <c r="AD17" s="21" t="inlineStr"/>
      <c r="AE17" s="21" t="inlineStr"/>
      <c r="AF17" s="21" t="inlineStr"/>
      <c r="AG17" s="21" t="inlineStr"/>
      <c r="AH17" s="21" t="inlineStr"/>
      <c r="AI17" s="21" t="inlineStr"/>
      <c r="AJ17" s="22">
        <f>IF($A17=1,SUMPRODUCT(($E$6:$AI$6&lt;=$B$3)*(E17:AI17)),"")</f>
        <v/>
      </c>
    </row>
    <row r="18">
      <c r="A18" s="19">
        <f>Setup!D20</f>
        <v/>
      </c>
      <c r="B18" s="20">
        <f>Setup!A20</f>
        <v/>
      </c>
      <c r="C18" s="19">
        <f>Setup!B20</f>
        <v/>
      </c>
      <c r="D18" s="19">
        <f>Setup!E20</f>
        <v/>
      </c>
      <c r="E18" s="21" t="inlineStr"/>
      <c r="F18" s="21" t="inlineStr"/>
      <c r="G18" s="21" t="inlineStr"/>
      <c r="H18" s="21" t="inlineStr"/>
      <c r="I18" s="21" t="inlineStr"/>
      <c r="J18" s="21" t="inlineStr"/>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2">
        <f>IF($A18=1,SUMPRODUCT(($E$6:$AI$6&lt;=$B$3)*(E18:AI18)),"")</f>
        <v/>
      </c>
    </row>
    <row r="19">
      <c r="A19" s="19">
        <f>Setup!D21</f>
        <v/>
      </c>
      <c r="B19" s="20">
        <f>Setup!A21</f>
        <v/>
      </c>
      <c r="C19" s="19">
        <f>Setup!B21</f>
        <v/>
      </c>
      <c r="D19" s="19">
        <f>Setup!E21</f>
        <v/>
      </c>
      <c r="E19" s="21" t="inlineStr"/>
      <c r="F19" s="21" t="inlineStr"/>
      <c r="G19" s="21" t="inlineStr"/>
      <c r="H19" s="21" t="inlineStr"/>
      <c r="I19" s="21" t="inlineStr"/>
      <c r="J19" s="21" t="inlineStr"/>
      <c r="K19" s="21" t="inlineStr"/>
      <c r="L19" s="21" t="inlineStr"/>
      <c r="M19" s="21" t="inlineStr"/>
      <c r="N19" s="21" t="inlineStr"/>
      <c r="O19" s="21" t="inlineStr"/>
      <c r="P19" s="21" t="inlineStr"/>
      <c r="Q19" s="21" t="inlineStr"/>
      <c r="R19" s="21" t="inlineStr"/>
      <c r="S19" s="21" t="inlineStr"/>
      <c r="T19" s="21" t="inlineStr"/>
      <c r="U19" s="21" t="inlineStr"/>
      <c r="V19" s="21" t="inlineStr"/>
      <c r="W19" s="21" t="inlineStr"/>
      <c r="X19" s="21" t="inlineStr"/>
      <c r="Y19" s="21" t="inlineStr"/>
      <c r="Z19" s="21" t="inlineStr"/>
      <c r="AA19" s="21" t="inlineStr"/>
      <c r="AB19" s="21" t="inlineStr"/>
      <c r="AC19" s="21" t="inlineStr"/>
      <c r="AD19" s="21" t="inlineStr"/>
      <c r="AE19" s="21" t="inlineStr"/>
      <c r="AF19" s="21" t="inlineStr"/>
      <c r="AG19" s="21" t="inlineStr"/>
      <c r="AH19" s="21" t="inlineStr"/>
      <c r="AI19" s="21" t="inlineStr"/>
      <c r="AJ19" s="22">
        <f>IF($A19=1,SUMPRODUCT(($E$6:$AI$6&lt;=$B$3)*(E19:AI19)),"")</f>
        <v/>
      </c>
    </row>
    <row r="20">
      <c r="A20" s="19">
        <f>Setup!D22</f>
        <v/>
      </c>
      <c r="B20" s="20">
        <f>Setup!A22</f>
        <v/>
      </c>
      <c r="C20" s="19">
        <f>Setup!B22</f>
        <v/>
      </c>
      <c r="D20" s="19">
        <f>Setup!E22</f>
        <v/>
      </c>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2">
        <f>IF($A20=1,SUMPRODUCT(($E$6:$AI$6&lt;=$B$3)*(E20:AI20)),"")</f>
        <v/>
      </c>
    </row>
    <row r="21">
      <c r="A21" s="19">
        <f>Setup!D23</f>
        <v/>
      </c>
      <c r="B21" s="20">
        <f>Setup!A23</f>
        <v/>
      </c>
      <c r="C21" s="19">
        <f>Setup!B23</f>
        <v/>
      </c>
      <c r="D21" s="19">
        <f>Setup!E23</f>
        <v/>
      </c>
      <c r="E21" s="21" t="inlineStr"/>
      <c r="F21" s="21" t="inlineStr"/>
      <c r="G21" s="21" t="inlineStr"/>
      <c r="H21" s="21" t="inlineStr"/>
      <c r="I21" s="21" t="inlineStr"/>
      <c r="J21" s="21" t="inlineStr"/>
      <c r="K21" s="21" t="inlineStr"/>
      <c r="L21" s="21" t="inlineStr"/>
      <c r="M21" s="21" t="inlineStr"/>
      <c r="N21" s="21" t="inlineStr"/>
      <c r="O21" s="21" t="inlineStr"/>
      <c r="P21" s="21" t="inlineStr"/>
      <c r="Q21" s="21" t="inlineStr"/>
      <c r="R21" s="21" t="inlineStr"/>
      <c r="S21" s="21" t="inlineStr"/>
      <c r="T21" s="21" t="inlineStr"/>
      <c r="U21" s="21" t="inlineStr"/>
      <c r="V21" s="21" t="inlineStr"/>
      <c r="W21" s="21" t="inlineStr"/>
      <c r="X21" s="21" t="inlineStr"/>
      <c r="Y21" s="21" t="inlineStr"/>
      <c r="Z21" s="21" t="inlineStr"/>
      <c r="AA21" s="21" t="inlineStr"/>
      <c r="AB21" s="21" t="inlineStr"/>
      <c r="AC21" s="21" t="inlineStr"/>
      <c r="AD21" s="21" t="inlineStr"/>
      <c r="AE21" s="21" t="inlineStr"/>
      <c r="AF21" s="21" t="inlineStr"/>
      <c r="AG21" s="21" t="inlineStr"/>
      <c r="AH21" s="21" t="inlineStr"/>
      <c r="AI21" s="21" t="inlineStr"/>
      <c r="AJ21" s="22">
        <f>IF($A21=1,SUMPRODUCT(($E$6:$AI$6&lt;=$B$3)*(E21:AI21)),"")</f>
        <v/>
      </c>
    </row>
    <row r="22">
      <c r="A22" s="19">
        <f>Setup!D24</f>
        <v/>
      </c>
      <c r="B22" s="20">
        <f>Setup!A24</f>
        <v/>
      </c>
      <c r="C22" s="19">
        <f>Setup!B24</f>
        <v/>
      </c>
      <c r="D22" s="19">
        <f>Setup!E24</f>
        <v/>
      </c>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c r="Y22" s="21" t="inlineStr"/>
      <c r="Z22" s="21" t="inlineStr"/>
      <c r="AA22" s="21" t="inlineStr"/>
      <c r="AB22" s="21" t="inlineStr"/>
      <c r="AC22" s="21" t="inlineStr"/>
      <c r="AD22" s="21" t="inlineStr"/>
      <c r="AE22" s="21" t="inlineStr"/>
      <c r="AF22" s="21" t="inlineStr"/>
      <c r="AG22" s="21" t="inlineStr"/>
      <c r="AH22" s="21" t="inlineStr"/>
      <c r="AI22" s="21" t="inlineStr"/>
      <c r="AJ22" s="22">
        <f>IF($A22=1,SUMPRODUCT(($E$6:$AI$6&lt;=$B$3)*(E22:AI22)),"")</f>
        <v/>
      </c>
    </row>
    <row r="23">
      <c r="A23" s="19">
        <f>Setup!D25</f>
        <v/>
      </c>
      <c r="B23" s="20">
        <f>Setup!A25</f>
        <v/>
      </c>
      <c r="C23" s="19">
        <f>Setup!B25</f>
        <v/>
      </c>
      <c r="D23" s="19">
        <f>Setup!E25</f>
        <v/>
      </c>
      <c r="E23" s="21" t="inlineStr"/>
      <c r="F23" s="21" t="inlineStr"/>
      <c r="G23" s="21" t="inlineStr"/>
      <c r="H23" s="21" t="inlineStr"/>
      <c r="I23" s="21" t="inlineStr"/>
      <c r="J23" s="21" t="inlineStr"/>
      <c r="K23" s="21" t="inlineStr"/>
      <c r="L23" s="21" t="inlineStr"/>
      <c r="M23" s="21" t="inlineStr"/>
      <c r="N23" s="21" t="inlineStr"/>
      <c r="O23" s="21" t="inlineStr"/>
      <c r="P23" s="21" t="inlineStr"/>
      <c r="Q23" s="21" t="inlineStr"/>
      <c r="R23" s="21" t="inlineStr"/>
      <c r="S23" s="21" t="inlineStr"/>
      <c r="T23" s="21" t="inlineStr"/>
      <c r="U23" s="21" t="inlineStr"/>
      <c r="V23" s="21" t="inlineStr"/>
      <c r="W23" s="21" t="inlineStr"/>
      <c r="X23" s="21" t="inlineStr"/>
      <c r="Y23" s="21" t="inlineStr"/>
      <c r="Z23" s="21" t="inlineStr"/>
      <c r="AA23" s="21" t="inlineStr"/>
      <c r="AB23" s="21" t="inlineStr"/>
      <c r="AC23" s="21" t="inlineStr"/>
      <c r="AD23" s="21" t="inlineStr"/>
      <c r="AE23" s="21" t="inlineStr"/>
      <c r="AF23" s="21" t="inlineStr"/>
      <c r="AG23" s="21" t="inlineStr"/>
      <c r="AH23" s="21" t="inlineStr"/>
      <c r="AI23" s="21" t="inlineStr"/>
      <c r="AJ23" s="22">
        <f>IF($A23=1,SUMPRODUCT(($E$6:$AI$6&lt;=$B$3)*(E23:AI23)),"")</f>
        <v/>
      </c>
    </row>
    <row r="24">
      <c r="A24" s="19">
        <f>Setup!D26</f>
        <v/>
      </c>
      <c r="B24" s="20">
        <f>Setup!A26</f>
        <v/>
      </c>
      <c r="C24" s="19">
        <f>Setup!B26</f>
        <v/>
      </c>
      <c r="D24" s="19">
        <f>Setup!E26</f>
        <v/>
      </c>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c r="Y24" s="21" t="inlineStr"/>
      <c r="Z24" s="21" t="inlineStr"/>
      <c r="AA24" s="21" t="inlineStr"/>
      <c r="AB24" s="21" t="inlineStr"/>
      <c r="AC24" s="21" t="inlineStr"/>
      <c r="AD24" s="21" t="inlineStr"/>
      <c r="AE24" s="21" t="inlineStr"/>
      <c r="AF24" s="21" t="inlineStr"/>
      <c r="AG24" s="21" t="inlineStr"/>
      <c r="AH24" s="21" t="inlineStr"/>
      <c r="AI24" s="21" t="inlineStr"/>
      <c r="AJ24" s="22">
        <f>IF($A24=1,SUMPRODUCT(($E$6:$AI$6&lt;=$B$3)*(E24:AI24)),"")</f>
        <v/>
      </c>
    </row>
    <row r="25">
      <c r="A25" s="19">
        <f>Setup!D27</f>
        <v/>
      </c>
      <c r="B25" s="20">
        <f>Setup!A27</f>
        <v/>
      </c>
      <c r="C25" s="19">
        <f>Setup!B27</f>
        <v/>
      </c>
      <c r="D25" s="19">
        <f>Setup!E27</f>
        <v/>
      </c>
      <c r="E25" s="21" t="inlineStr"/>
      <c r="F25" s="21" t="inlineStr"/>
      <c r="G25" s="21" t="inlineStr"/>
      <c r="H25" s="21" t="inlineStr"/>
      <c r="I25" s="21" t="inlineStr"/>
      <c r="J25" s="21" t="inlineStr"/>
      <c r="K25" s="21" t="inlineStr"/>
      <c r="L25" s="21" t="inlineStr"/>
      <c r="M25" s="21" t="inlineStr"/>
      <c r="N25" s="21" t="inlineStr"/>
      <c r="O25" s="21" t="inlineStr"/>
      <c r="P25" s="21" t="inlineStr"/>
      <c r="Q25" s="21" t="inlineStr"/>
      <c r="R25" s="21" t="inlineStr"/>
      <c r="S25" s="21" t="inlineStr"/>
      <c r="T25" s="21" t="inlineStr"/>
      <c r="U25" s="21" t="inlineStr"/>
      <c r="V25" s="21" t="inlineStr"/>
      <c r="W25" s="21" t="inlineStr"/>
      <c r="X25" s="21" t="inlineStr"/>
      <c r="Y25" s="21" t="inlineStr"/>
      <c r="Z25" s="21" t="inlineStr"/>
      <c r="AA25" s="21" t="inlineStr"/>
      <c r="AB25" s="21" t="inlineStr"/>
      <c r="AC25" s="21" t="inlineStr"/>
      <c r="AD25" s="21" t="inlineStr"/>
      <c r="AE25" s="21" t="inlineStr"/>
      <c r="AF25" s="21" t="inlineStr"/>
      <c r="AG25" s="21" t="inlineStr"/>
      <c r="AH25" s="21" t="inlineStr"/>
      <c r="AI25" s="21" t="inlineStr"/>
      <c r="AJ25" s="22">
        <f>IF($A25=1,SUMPRODUCT(($E$6:$AI$6&lt;=$B$3)*(E25:AI25)),"")</f>
        <v/>
      </c>
    </row>
    <row r="26">
      <c r="A26" s="19">
        <f>Setup!D28</f>
        <v/>
      </c>
      <c r="B26" s="20">
        <f>Setup!A28</f>
        <v/>
      </c>
      <c r="C26" s="19">
        <f>Setup!B28</f>
        <v/>
      </c>
      <c r="D26" s="19">
        <f>Setup!E28</f>
        <v/>
      </c>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2">
        <f>IF($A26=1,SUMPRODUCT(($E$6:$AI$6&lt;=$B$3)*(E26:AI26)),"")</f>
        <v/>
      </c>
    </row>
    <row r="29">
      <c r="A29" s="23" t="inlineStr">
        <is>
          <t>Daily summary</t>
        </is>
      </c>
    </row>
    <row r="30">
      <c r="A30" s="8" t="inlineStr">
        <is>
          <t>Good habits done</t>
        </is>
      </c>
      <c r="E30" s="19">
        <f>SUMPRODUCT(($A$7:$A$26=1)*($C$7:$C$26="Good")*(E7:E26))</f>
        <v/>
      </c>
      <c r="F30" s="19">
        <f>SUMPRODUCT(($A$7:$A$26=1)*($C$7:$C$26="Good")*(F7:F26))</f>
        <v/>
      </c>
      <c r="G30" s="19">
        <f>SUMPRODUCT(($A$7:$A$26=1)*($C$7:$C$26="Good")*(G7:G26))</f>
        <v/>
      </c>
      <c r="H30" s="19">
        <f>SUMPRODUCT(($A$7:$A$26=1)*($C$7:$C$26="Good")*(H7:H26))</f>
        <v/>
      </c>
      <c r="I30" s="19">
        <f>SUMPRODUCT(($A$7:$A$26=1)*($C$7:$C$26="Good")*(I7:I26))</f>
        <v/>
      </c>
      <c r="J30" s="19">
        <f>SUMPRODUCT(($A$7:$A$26=1)*($C$7:$C$26="Good")*(J7:J26))</f>
        <v/>
      </c>
      <c r="K30" s="19">
        <f>SUMPRODUCT(($A$7:$A$26=1)*($C$7:$C$26="Good")*(K7:K26))</f>
        <v/>
      </c>
      <c r="L30" s="19">
        <f>SUMPRODUCT(($A$7:$A$26=1)*($C$7:$C$26="Good")*(L7:L26))</f>
        <v/>
      </c>
      <c r="M30" s="19">
        <f>SUMPRODUCT(($A$7:$A$26=1)*($C$7:$C$26="Good")*(M7:M26))</f>
        <v/>
      </c>
      <c r="N30" s="19">
        <f>SUMPRODUCT(($A$7:$A$26=1)*($C$7:$C$26="Good")*(N7:N26))</f>
        <v/>
      </c>
      <c r="O30" s="19">
        <f>SUMPRODUCT(($A$7:$A$26=1)*($C$7:$C$26="Good")*(O7:O26))</f>
        <v/>
      </c>
      <c r="P30" s="19">
        <f>SUMPRODUCT(($A$7:$A$26=1)*($C$7:$C$26="Good")*(P7:P26))</f>
        <v/>
      </c>
      <c r="Q30" s="19">
        <f>SUMPRODUCT(($A$7:$A$26=1)*($C$7:$C$26="Good")*(Q7:Q26))</f>
        <v/>
      </c>
      <c r="R30" s="19">
        <f>SUMPRODUCT(($A$7:$A$26=1)*($C$7:$C$26="Good")*(R7:R26))</f>
        <v/>
      </c>
      <c r="S30" s="19">
        <f>SUMPRODUCT(($A$7:$A$26=1)*($C$7:$C$26="Good")*(S7:S26))</f>
        <v/>
      </c>
      <c r="T30" s="19">
        <f>SUMPRODUCT(($A$7:$A$26=1)*($C$7:$C$26="Good")*(T7:T26))</f>
        <v/>
      </c>
      <c r="U30" s="19">
        <f>SUMPRODUCT(($A$7:$A$26=1)*($C$7:$C$26="Good")*(U7:U26))</f>
        <v/>
      </c>
      <c r="V30" s="19">
        <f>SUMPRODUCT(($A$7:$A$26=1)*($C$7:$C$26="Good")*(V7:V26))</f>
        <v/>
      </c>
      <c r="W30" s="19">
        <f>SUMPRODUCT(($A$7:$A$26=1)*($C$7:$C$26="Good")*(W7:W26))</f>
        <v/>
      </c>
      <c r="X30" s="19">
        <f>SUMPRODUCT(($A$7:$A$26=1)*($C$7:$C$26="Good")*(X7:X26))</f>
        <v/>
      </c>
      <c r="Y30" s="19">
        <f>SUMPRODUCT(($A$7:$A$26=1)*($C$7:$C$26="Good")*(Y7:Y26))</f>
        <v/>
      </c>
      <c r="Z30" s="19">
        <f>SUMPRODUCT(($A$7:$A$26=1)*($C$7:$C$26="Good")*(Z7:Z26))</f>
        <v/>
      </c>
      <c r="AA30" s="19">
        <f>SUMPRODUCT(($A$7:$A$26=1)*($C$7:$C$26="Good")*(AA7:AA26))</f>
        <v/>
      </c>
      <c r="AB30" s="19">
        <f>SUMPRODUCT(($A$7:$A$26=1)*($C$7:$C$26="Good")*(AB7:AB26))</f>
        <v/>
      </c>
      <c r="AC30" s="19">
        <f>SUMPRODUCT(($A$7:$A$26=1)*($C$7:$C$26="Good")*(AC7:AC26))</f>
        <v/>
      </c>
      <c r="AD30" s="19">
        <f>SUMPRODUCT(($A$7:$A$26=1)*($C$7:$C$26="Good")*(AD7:AD26))</f>
        <v/>
      </c>
      <c r="AE30" s="19">
        <f>SUMPRODUCT(($A$7:$A$26=1)*($C$7:$C$26="Good")*(AE7:AE26))</f>
        <v/>
      </c>
      <c r="AF30" s="19">
        <f>SUMPRODUCT(($A$7:$A$26=1)*($C$7:$C$26="Good")*(AF7:AF26))</f>
        <v/>
      </c>
      <c r="AG30" s="19">
        <f>SUMPRODUCT(($A$7:$A$26=1)*($C$7:$C$26="Good")*(AG7:AG26))</f>
        <v/>
      </c>
      <c r="AH30" s="19">
        <f>SUMPRODUCT(($A$7:$A$26=1)*($C$7:$C$26="Good")*(AH7:AH26))</f>
        <v/>
      </c>
      <c r="AI30" s="19">
        <f>SUMPRODUCT(($A$7:$A$26=1)*($C$7:$C$26="Good")*(AI7:AI26))</f>
        <v/>
      </c>
      <c r="AL30" s="24" t="inlineStr">
        <is>
          <t>Monthly totals</t>
        </is>
      </c>
    </row>
    <row r="31">
      <c r="A31" s="8" t="inlineStr">
        <is>
          <t>Bad habits happened</t>
        </is>
      </c>
      <c r="E31" s="19">
        <f>SUMPRODUCT(($A$7:$A$26=1)*($C$7:$C$26="Bad")*(E7:E26))</f>
        <v/>
      </c>
      <c r="F31" s="19">
        <f>SUMPRODUCT(($A$7:$A$26=1)*($C$7:$C$26="Bad")*(F7:F26))</f>
        <v/>
      </c>
      <c r="G31" s="19">
        <f>SUMPRODUCT(($A$7:$A$26=1)*($C$7:$C$26="Bad")*(G7:G26))</f>
        <v/>
      </c>
      <c r="H31" s="19">
        <f>SUMPRODUCT(($A$7:$A$26=1)*($C$7:$C$26="Bad")*(H7:H26))</f>
        <v/>
      </c>
      <c r="I31" s="19">
        <f>SUMPRODUCT(($A$7:$A$26=1)*($C$7:$C$26="Bad")*(I7:I26))</f>
        <v/>
      </c>
      <c r="J31" s="19">
        <f>SUMPRODUCT(($A$7:$A$26=1)*($C$7:$C$26="Bad")*(J7:J26))</f>
        <v/>
      </c>
      <c r="K31" s="19">
        <f>SUMPRODUCT(($A$7:$A$26=1)*($C$7:$C$26="Bad")*(K7:K26))</f>
        <v/>
      </c>
      <c r="L31" s="19">
        <f>SUMPRODUCT(($A$7:$A$26=1)*($C$7:$C$26="Bad")*(L7:L26))</f>
        <v/>
      </c>
      <c r="M31" s="19">
        <f>SUMPRODUCT(($A$7:$A$26=1)*($C$7:$C$26="Bad")*(M7:M26))</f>
        <v/>
      </c>
      <c r="N31" s="19">
        <f>SUMPRODUCT(($A$7:$A$26=1)*($C$7:$C$26="Bad")*(N7:N26))</f>
        <v/>
      </c>
      <c r="O31" s="19">
        <f>SUMPRODUCT(($A$7:$A$26=1)*($C$7:$C$26="Bad")*(O7:O26))</f>
        <v/>
      </c>
      <c r="P31" s="19">
        <f>SUMPRODUCT(($A$7:$A$26=1)*($C$7:$C$26="Bad")*(P7:P26))</f>
        <v/>
      </c>
      <c r="Q31" s="19">
        <f>SUMPRODUCT(($A$7:$A$26=1)*($C$7:$C$26="Bad")*(Q7:Q26))</f>
        <v/>
      </c>
      <c r="R31" s="19">
        <f>SUMPRODUCT(($A$7:$A$26=1)*($C$7:$C$26="Bad")*(R7:R26))</f>
        <v/>
      </c>
      <c r="S31" s="19">
        <f>SUMPRODUCT(($A$7:$A$26=1)*($C$7:$C$26="Bad")*(S7:S26))</f>
        <v/>
      </c>
      <c r="T31" s="19">
        <f>SUMPRODUCT(($A$7:$A$26=1)*($C$7:$C$26="Bad")*(T7:T26))</f>
        <v/>
      </c>
      <c r="U31" s="19">
        <f>SUMPRODUCT(($A$7:$A$26=1)*($C$7:$C$26="Bad")*(U7:U26))</f>
        <v/>
      </c>
      <c r="V31" s="19">
        <f>SUMPRODUCT(($A$7:$A$26=1)*($C$7:$C$26="Bad")*(V7:V26))</f>
        <v/>
      </c>
      <c r="W31" s="19">
        <f>SUMPRODUCT(($A$7:$A$26=1)*($C$7:$C$26="Bad")*(W7:W26))</f>
        <v/>
      </c>
      <c r="X31" s="19">
        <f>SUMPRODUCT(($A$7:$A$26=1)*($C$7:$C$26="Bad")*(X7:X26))</f>
        <v/>
      </c>
      <c r="Y31" s="19">
        <f>SUMPRODUCT(($A$7:$A$26=1)*($C$7:$C$26="Bad")*(Y7:Y26))</f>
        <v/>
      </c>
      <c r="Z31" s="19">
        <f>SUMPRODUCT(($A$7:$A$26=1)*($C$7:$C$26="Bad")*(Z7:Z26))</f>
        <v/>
      </c>
      <c r="AA31" s="19">
        <f>SUMPRODUCT(($A$7:$A$26=1)*($C$7:$C$26="Bad")*(AA7:AA26))</f>
        <v/>
      </c>
      <c r="AB31" s="19">
        <f>SUMPRODUCT(($A$7:$A$26=1)*($C$7:$C$26="Bad")*(AB7:AB26))</f>
        <v/>
      </c>
      <c r="AC31" s="19">
        <f>SUMPRODUCT(($A$7:$A$26=1)*($C$7:$C$26="Bad")*(AC7:AC26))</f>
        <v/>
      </c>
      <c r="AD31" s="19">
        <f>SUMPRODUCT(($A$7:$A$26=1)*($C$7:$C$26="Bad")*(AD7:AD26))</f>
        <v/>
      </c>
      <c r="AE31" s="19">
        <f>SUMPRODUCT(($A$7:$A$26=1)*($C$7:$C$26="Bad")*(AE7:AE26))</f>
        <v/>
      </c>
      <c r="AF31" s="19">
        <f>SUMPRODUCT(($A$7:$A$26=1)*($C$7:$C$26="Bad")*(AF7:AF26))</f>
        <v/>
      </c>
      <c r="AG31" s="19">
        <f>SUMPRODUCT(($A$7:$A$26=1)*($C$7:$C$26="Bad")*(AG7:AG26))</f>
        <v/>
      </c>
      <c r="AH31" s="19">
        <f>SUMPRODUCT(($A$7:$A$26=1)*($C$7:$C$26="Bad")*(AH7:AH26))</f>
        <v/>
      </c>
      <c r="AI31" s="19">
        <f>SUMPRODUCT(($A$7:$A$26=1)*($C$7:$C$26="Bad")*(AI7:AI26))</f>
        <v/>
      </c>
      <c r="AL31" s="10" t="inlineStr">
        <is>
          <t>Good done</t>
        </is>
      </c>
      <c r="AM31" s="25">
        <f>SUMPRODUCT(($E$6:$AI$6&lt;=$B$3)*(E30:AI30))</f>
        <v/>
      </c>
    </row>
    <row r="32">
      <c r="A32" s="8" t="inlineStr">
        <is>
          <t>Net score</t>
        </is>
      </c>
      <c r="E32" s="19">
        <f>SUMPRODUCT(($A$7:$A$26=1)*($D$7:$D$26)*(E7:E26))</f>
        <v/>
      </c>
      <c r="F32" s="19">
        <f>SUMPRODUCT(($A$7:$A$26=1)*($D$7:$D$26)*(F7:F26))</f>
        <v/>
      </c>
      <c r="G32" s="19">
        <f>SUMPRODUCT(($A$7:$A$26=1)*($D$7:$D$26)*(G7:G26))</f>
        <v/>
      </c>
      <c r="H32" s="19">
        <f>SUMPRODUCT(($A$7:$A$26=1)*($D$7:$D$26)*(H7:H26))</f>
        <v/>
      </c>
      <c r="I32" s="19">
        <f>SUMPRODUCT(($A$7:$A$26=1)*($D$7:$D$26)*(I7:I26))</f>
        <v/>
      </c>
      <c r="J32" s="19">
        <f>SUMPRODUCT(($A$7:$A$26=1)*($D$7:$D$26)*(J7:J26))</f>
        <v/>
      </c>
      <c r="K32" s="19">
        <f>SUMPRODUCT(($A$7:$A$26=1)*($D$7:$D$26)*(K7:K26))</f>
        <v/>
      </c>
      <c r="L32" s="19">
        <f>SUMPRODUCT(($A$7:$A$26=1)*($D$7:$D$26)*(L7:L26))</f>
        <v/>
      </c>
      <c r="M32" s="19">
        <f>SUMPRODUCT(($A$7:$A$26=1)*($D$7:$D$26)*(M7:M26))</f>
        <v/>
      </c>
      <c r="N32" s="19">
        <f>SUMPRODUCT(($A$7:$A$26=1)*($D$7:$D$26)*(N7:N26))</f>
        <v/>
      </c>
      <c r="O32" s="19">
        <f>SUMPRODUCT(($A$7:$A$26=1)*($D$7:$D$26)*(O7:O26))</f>
        <v/>
      </c>
      <c r="P32" s="19">
        <f>SUMPRODUCT(($A$7:$A$26=1)*($D$7:$D$26)*(P7:P26))</f>
        <v/>
      </c>
      <c r="Q32" s="19">
        <f>SUMPRODUCT(($A$7:$A$26=1)*($D$7:$D$26)*(Q7:Q26))</f>
        <v/>
      </c>
      <c r="R32" s="19">
        <f>SUMPRODUCT(($A$7:$A$26=1)*($D$7:$D$26)*(R7:R26))</f>
        <v/>
      </c>
      <c r="S32" s="19">
        <f>SUMPRODUCT(($A$7:$A$26=1)*($D$7:$D$26)*(S7:S26))</f>
        <v/>
      </c>
      <c r="T32" s="19">
        <f>SUMPRODUCT(($A$7:$A$26=1)*($D$7:$D$26)*(T7:T26))</f>
        <v/>
      </c>
      <c r="U32" s="19">
        <f>SUMPRODUCT(($A$7:$A$26=1)*($D$7:$D$26)*(U7:U26))</f>
        <v/>
      </c>
      <c r="V32" s="19">
        <f>SUMPRODUCT(($A$7:$A$26=1)*($D$7:$D$26)*(V7:V26))</f>
        <v/>
      </c>
      <c r="W32" s="19">
        <f>SUMPRODUCT(($A$7:$A$26=1)*($D$7:$D$26)*(W7:W26))</f>
        <v/>
      </c>
      <c r="X32" s="19">
        <f>SUMPRODUCT(($A$7:$A$26=1)*($D$7:$D$26)*(X7:X26))</f>
        <v/>
      </c>
      <c r="Y32" s="19">
        <f>SUMPRODUCT(($A$7:$A$26=1)*($D$7:$D$26)*(Y7:Y26))</f>
        <v/>
      </c>
      <c r="Z32" s="19">
        <f>SUMPRODUCT(($A$7:$A$26=1)*($D$7:$D$26)*(Z7:Z26))</f>
        <v/>
      </c>
      <c r="AA32" s="19">
        <f>SUMPRODUCT(($A$7:$A$26=1)*($D$7:$D$26)*(AA7:AA26))</f>
        <v/>
      </c>
      <c r="AB32" s="19">
        <f>SUMPRODUCT(($A$7:$A$26=1)*($D$7:$D$26)*(AB7:AB26))</f>
        <v/>
      </c>
      <c r="AC32" s="19">
        <f>SUMPRODUCT(($A$7:$A$26=1)*($D$7:$D$26)*(AC7:AC26))</f>
        <v/>
      </c>
      <c r="AD32" s="19">
        <f>SUMPRODUCT(($A$7:$A$26=1)*($D$7:$D$26)*(AD7:AD26))</f>
        <v/>
      </c>
      <c r="AE32" s="19">
        <f>SUMPRODUCT(($A$7:$A$26=1)*($D$7:$D$26)*(AE7:AE26))</f>
        <v/>
      </c>
      <c r="AF32" s="19">
        <f>SUMPRODUCT(($A$7:$A$26=1)*($D$7:$D$26)*(AF7:AF26))</f>
        <v/>
      </c>
      <c r="AG32" s="19">
        <f>SUMPRODUCT(($A$7:$A$26=1)*($D$7:$D$26)*(AG7:AG26))</f>
        <v/>
      </c>
      <c r="AH32" s="19">
        <f>SUMPRODUCT(($A$7:$A$26=1)*($D$7:$D$26)*(AH7:AH26))</f>
        <v/>
      </c>
      <c r="AI32" s="19">
        <f>SUMPRODUCT(($A$7:$A$26=1)*($D$7:$D$26)*(AI7:AI26))</f>
        <v/>
      </c>
      <c r="AL32" s="10" t="inlineStr">
        <is>
          <t>Bad happened</t>
        </is>
      </c>
      <c r="AM32" s="25">
        <f>SUMPRODUCT(($E$6:$AI$6&lt;=$B$3)*(E31:AI31))</f>
        <v/>
      </c>
    </row>
    <row r="33">
      <c r="A33" s="8" t="inlineStr">
        <is>
          <t>Completion % (Good only)</t>
        </is>
      </c>
      <c r="E33" s="26">
        <f>IF(SUMPRODUCT(($A$7:$A$26=1)*($C$7:$C$26="Good"))=0,"",SUMPRODUCT(($A$7:$A$26=1)*($C$7:$C$26="Good")*(E7:E26))/SUMPRODUCT(($A$7:$A$26=1)*($C$7:$C$26="Good")))</f>
        <v/>
      </c>
      <c r="F33" s="26">
        <f>IF(SUMPRODUCT(($A$7:$A$26=1)*($C$7:$C$26="Good"))=0,"",SUMPRODUCT(($A$7:$A$26=1)*($C$7:$C$26="Good")*(F7:F26))/SUMPRODUCT(($A$7:$A$26=1)*($C$7:$C$26="Good")))</f>
        <v/>
      </c>
      <c r="G33" s="26">
        <f>IF(SUMPRODUCT(($A$7:$A$26=1)*($C$7:$C$26="Good"))=0,"",SUMPRODUCT(($A$7:$A$26=1)*($C$7:$C$26="Good")*(G7:G26))/SUMPRODUCT(($A$7:$A$26=1)*($C$7:$C$26="Good")))</f>
        <v/>
      </c>
      <c r="H33" s="26">
        <f>IF(SUMPRODUCT(($A$7:$A$26=1)*($C$7:$C$26="Good"))=0,"",SUMPRODUCT(($A$7:$A$26=1)*($C$7:$C$26="Good")*(H7:H26))/SUMPRODUCT(($A$7:$A$26=1)*($C$7:$C$26="Good")))</f>
        <v/>
      </c>
      <c r="I33" s="26">
        <f>IF(SUMPRODUCT(($A$7:$A$26=1)*($C$7:$C$26="Good"))=0,"",SUMPRODUCT(($A$7:$A$26=1)*($C$7:$C$26="Good")*(I7:I26))/SUMPRODUCT(($A$7:$A$26=1)*($C$7:$C$26="Good")))</f>
        <v/>
      </c>
      <c r="J33" s="26">
        <f>IF(SUMPRODUCT(($A$7:$A$26=1)*($C$7:$C$26="Good"))=0,"",SUMPRODUCT(($A$7:$A$26=1)*($C$7:$C$26="Good")*(J7:J26))/SUMPRODUCT(($A$7:$A$26=1)*($C$7:$C$26="Good")))</f>
        <v/>
      </c>
      <c r="K33" s="26">
        <f>IF(SUMPRODUCT(($A$7:$A$26=1)*($C$7:$C$26="Good"))=0,"",SUMPRODUCT(($A$7:$A$26=1)*($C$7:$C$26="Good")*(K7:K26))/SUMPRODUCT(($A$7:$A$26=1)*($C$7:$C$26="Good")))</f>
        <v/>
      </c>
      <c r="L33" s="26">
        <f>IF(SUMPRODUCT(($A$7:$A$26=1)*($C$7:$C$26="Good"))=0,"",SUMPRODUCT(($A$7:$A$26=1)*($C$7:$C$26="Good")*(L7:L26))/SUMPRODUCT(($A$7:$A$26=1)*($C$7:$C$26="Good")))</f>
        <v/>
      </c>
      <c r="M33" s="26">
        <f>IF(SUMPRODUCT(($A$7:$A$26=1)*($C$7:$C$26="Good"))=0,"",SUMPRODUCT(($A$7:$A$26=1)*($C$7:$C$26="Good")*(M7:M26))/SUMPRODUCT(($A$7:$A$26=1)*($C$7:$C$26="Good")))</f>
        <v/>
      </c>
      <c r="N33" s="26">
        <f>IF(SUMPRODUCT(($A$7:$A$26=1)*($C$7:$C$26="Good"))=0,"",SUMPRODUCT(($A$7:$A$26=1)*($C$7:$C$26="Good")*(N7:N26))/SUMPRODUCT(($A$7:$A$26=1)*($C$7:$C$26="Good")))</f>
        <v/>
      </c>
      <c r="O33" s="26">
        <f>IF(SUMPRODUCT(($A$7:$A$26=1)*($C$7:$C$26="Good"))=0,"",SUMPRODUCT(($A$7:$A$26=1)*($C$7:$C$26="Good")*(O7:O26))/SUMPRODUCT(($A$7:$A$26=1)*($C$7:$C$26="Good")))</f>
        <v/>
      </c>
      <c r="P33" s="26">
        <f>IF(SUMPRODUCT(($A$7:$A$26=1)*($C$7:$C$26="Good"))=0,"",SUMPRODUCT(($A$7:$A$26=1)*($C$7:$C$26="Good")*(P7:P26))/SUMPRODUCT(($A$7:$A$26=1)*($C$7:$C$26="Good")))</f>
        <v/>
      </c>
      <c r="Q33" s="26">
        <f>IF(SUMPRODUCT(($A$7:$A$26=1)*($C$7:$C$26="Good"))=0,"",SUMPRODUCT(($A$7:$A$26=1)*($C$7:$C$26="Good")*(Q7:Q26))/SUMPRODUCT(($A$7:$A$26=1)*($C$7:$C$26="Good")))</f>
        <v/>
      </c>
      <c r="R33" s="26">
        <f>IF(SUMPRODUCT(($A$7:$A$26=1)*($C$7:$C$26="Good"))=0,"",SUMPRODUCT(($A$7:$A$26=1)*($C$7:$C$26="Good")*(R7:R26))/SUMPRODUCT(($A$7:$A$26=1)*($C$7:$C$26="Good")))</f>
        <v/>
      </c>
      <c r="S33" s="26">
        <f>IF(SUMPRODUCT(($A$7:$A$26=1)*($C$7:$C$26="Good"))=0,"",SUMPRODUCT(($A$7:$A$26=1)*($C$7:$C$26="Good")*(S7:S26))/SUMPRODUCT(($A$7:$A$26=1)*($C$7:$C$26="Good")))</f>
        <v/>
      </c>
      <c r="T33" s="26">
        <f>IF(SUMPRODUCT(($A$7:$A$26=1)*($C$7:$C$26="Good"))=0,"",SUMPRODUCT(($A$7:$A$26=1)*($C$7:$C$26="Good")*(T7:T26))/SUMPRODUCT(($A$7:$A$26=1)*($C$7:$C$26="Good")))</f>
        <v/>
      </c>
      <c r="U33" s="26">
        <f>IF(SUMPRODUCT(($A$7:$A$26=1)*($C$7:$C$26="Good"))=0,"",SUMPRODUCT(($A$7:$A$26=1)*($C$7:$C$26="Good")*(U7:U26))/SUMPRODUCT(($A$7:$A$26=1)*($C$7:$C$26="Good")))</f>
        <v/>
      </c>
      <c r="V33" s="26">
        <f>IF(SUMPRODUCT(($A$7:$A$26=1)*($C$7:$C$26="Good"))=0,"",SUMPRODUCT(($A$7:$A$26=1)*($C$7:$C$26="Good")*(V7:V26))/SUMPRODUCT(($A$7:$A$26=1)*($C$7:$C$26="Good")))</f>
        <v/>
      </c>
      <c r="W33" s="26">
        <f>IF(SUMPRODUCT(($A$7:$A$26=1)*($C$7:$C$26="Good"))=0,"",SUMPRODUCT(($A$7:$A$26=1)*($C$7:$C$26="Good")*(W7:W26))/SUMPRODUCT(($A$7:$A$26=1)*($C$7:$C$26="Good")))</f>
        <v/>
      </c>
      <c r="X33" s="26">
        <f>IF(SUMPRODUCT(($A$7:$A$26=1)*($C$7:$C$26="Good"))=0,"",SUMPRODUCT(($A$7:$A$26=1)*($C$7:$C$26="Good")*(X7:X26))/SUMPRODUCT(($A$7:$A$26=1)*($C$7:$C$26="Good")))</f>
        <v/>
      </c>
      <c r="Y33" s="26">
        <f>IF(SUMPRODUCT(($A$7:$A$26=1)*($C$7:$C$26="Good"))=0,"",SUMPRODUCT(($A$7:$A$26=1)*($C$7:$C$26="Good")*(Y7:Y26))/SUMPRODUCT(($A$7:$A$26=1)*($C$7:$C$26="Good")))</f>
        <v/>
      </c>
      <c r="Z33" s="26">
        <f>IF(SUMPRODUCT(($A$7:$A$26=1)*($C$7:$C$26="Good"))=0,"",SUMPRODUCT(($A$7:$A$26=1)*($C$7:$C$26="Good")*(Z7:Z26))/SUMPRODUCT(($A$7:$A$26=1)*($C$7:$C$26="Good")))</f>
        <v/>
      </c>
      <c r="AA33" s="26">
        <f>IF(SUMPRODUCT(($A$7:$A$26=1)*($C$7:$C$26="Good"))=0,"",SUMPRODUCT(($A$7:$A$26=1)*($C$7:$C$26="Good")*(AA7:AA26))/SUMPRODUCT(($A$7:$A$26=1)*($C$7:$C$26="Good")))</f>
        <v/>
      </c>
      <c r="AB33" s="26">
        <f>IF(SUMPRODUCT(($A$7:$A$26=1)*($C$7:$C$26="Good"))=0,"",SUMPRODUCT(($A$7:$A$26=1)*($C$7:$C$26="Good")*(AB7:AB26))/SUMPRODUCT(($A$7:$A$26=1)*($C$7:$C$26="Good")))</f>
        <v/>
      </c>
      <c r="AC33" s="26">
        <f>IF(SUMPRODUCT(($A$7:$A$26=1)*($C$7:$C$26="Good"))=0,"",SUMPRODUCT(($A$7:$A$26=1)*($C$7:$C$26="Good")*(AC7:AC26))/SUMPRODUCT(($A$7:$A$26=1)*($C$7:$C$26="Good")))</f>
        <v/>
      </c>
      <c r="AD33" s="26">
        <f>IF(SUMPRODUCT(($A$7:$A$26=1)*($C$7:$C$26="Good"))=0,"",SUMPRODUCT(($A$7:$A$26=1)*($C$7:$C$26="Good")*(AD7:AD26))/SUMPRODUCT(($A$7:$A$26=1)*($C$7:$C$26="Good")))</f>
        <v/>
      </c>
      <c r="AE33" s="26">
        <f>IF(SUMPRODUCT(($A$7:$A$26=1)*($C$7:$C$26="Good"))=0,"",SUMPRODUCT(($A$7:$A$26=1)*($C$7:$C$26="Good")*(AE7:AE26))/SUMPRODUCT(($A$7:$A$26=1)*($C$7:$C$26="Good")))</f>
        <v/>
      </c>
      <c r="AF33" s="26">
        <f>IF(SUMPRODUCT(($A$7:$A$26=1)*($C$7:$C$26="Good"))=0,"",SUMPRODUCT(($A$7:$A$26=1)*($C$7:$C$26="Good")*(AF7:AF26))/SUMPRODUCT(($A$7:$A$26=1)*($C$7:$C$26="Good")))</f>
        <v/>
      </c>
      <c r="AG33" s="26">
        <f>IF(SUMPRODUCT(($A$7:$A$26=1)*($C$7:$C$26="Good"))=0,"",SUMPRODUCT(($A$7:$A$26=1)*($C$7:$C$26="Good")*(AG7:AG26))/SUMPRODUCT(($A$7:$A$26=1)*($C$7:$C$26="Good")))</f>
        <v/>
      </c>
      <c r="AH33" s="26">
        <f>IF(SUMPRODUCT(($A$7:$A$26=1)*($C$7:$C$26="Good"))=0,"",SUMPRODUCT(($A$7:$A$26=1)*($C$7:$C$26="Good")*(AH7:AH26))/SUMPRODUCT(($A$7:$A$26=1)*($C$7:$C$26="Good")))</f>
        <v/>
      </c>
      <c r="AI33" s="26">
        <f>IF(SUMPRODUCT(($A$7:$A$26=1)*($C$7:$C$26="Good"))=0,"",SUMPRODUCT(($A$7:$A$26=1)*($C$7:$C$26="Good")*(AI7:AI26))/SUMPRODUCT(($A$7:$A$26=1)*($C$7:$C$26="Good")))</f>
        <v/>
      </c>
      <c r="AL33" s="10" t="inlineStr">
        <is>
          <t>Net score</t>
        </is>
      </c>
      <c r="AM33" s="25">
        <f>SUMPRODUCT(($E$6:$AI$6&lt;=$B$3)*(E32:AI32))</f>
        <v/>
      </c>
    </row>
    <row r="34">
      <c r="AL34" s="10" t="inlineStr">
        <is>
          <t>Avg completion (Good)</t>
        </is>
      </c>
      <c r="AM34" s="27">
        <f>AVERAGEIF($E$6:$AI$6,"&lt;="&amp;$B$3,E33:AI33)</f>
        <v/>
      </c>
    </row>
  </sheetData>
  <mergeCells count="6">
    <mergeCell ref="A31:D31"/>
    <mergeCell ref="A1:AI1"/>
    <mergeCell ref="A30:D30"/>
    <mergeCell ref="A29:D29"/>
    <mergeCell ref="A33:D33"/>
    <mergeCell ref="A32:D32"/>
  </mergeCells>
  <conditionalFormatting sqref="E7:AI26">
    <cfRule type="expression" priority="1" dxfId="0">
      <formula>E7=1</formula>
    </cfRule>
  </conditionalFormatting>
  <conditionalFormatting sqref="E5:E33">
    <cfRule type="expression" priority="2" dxfId="1">
      <formula>E$6&gt;$B$3</formula>
    </cfRule>
  </conditionalFormatting>
  <conditionalFormatting sqref="F5:F33">
    <cfRule type="expression" priority="3" dxfId="1">
      <formula>F$6&gt;$B$3</formula>
    </cfRule>
  </conditionalFormatting>
  <conditionalFormatting sqref="G5:G33">
    <cfRule type="expression" priority="4" dxfId="1">
      <formula>G$6&gt;$B$3</formula>
    </cfRule>
  </conditionalFormatting>
  <conditionalFormatting sqref="H5:H33">
    <cfRule type="expression" priority="5" dxfId="1">
      <formula>H$6&gt;$B$3</formula>
    </cfRule>
  </conditionalFormatting>
  <conditionalFormatting sqref="I5:I33">
    <cfRule type="expression" priority="6" dxfId="1">
      <formula>I$6&gt;$B$3</formula>
    </cfRule>
  </conditionalFormatting>
  <conditionalFormatting sqref="J5:J33">
    <cfRule type="expression" priority="7" dxfId="1">
      <formula>J$6&gt;$B$3</formula>
    </cfRule>
  </conditionalFormatting>
  <conditionalFormatting sqref="K5:K33">
    <cfRule type="expression" priority="8" dxfId="1">
      <formula>K$6&gt;$B$3</formula>
    </cfRule>
  </conditionalFormatting>
  <conditionalFormatting sqref="L5:L33">
    <cfRule type="expression" priority="9" dxfId="1">
      <formula>L$6&gt;$B$3</formula>
    </cfRule>
  </conditionalFormatting>
  <conditionalFormatting sqref="M5:M33">
    <cfRule type="expression" priority="10" dxfId="1">
      <formula>M$6&gt;$B$3</formula>
    </cfRule>
  </conditionalFormatting>
  <conditionalFormatting sqref="N5:N33">
    <cfRule type="expression" priority="11" dxfId="1">
      <formula>N$6&gt;$B$3</formula>
    </cfRule>
  </conditionalFormatting>
  <conditionalFormatting sqref="O5:O33">
    <cfRule type="expression" priority="12" dxfId="1">
      <formula>O$6&gt;$B$3</formula>
    </cfRule>
  </conditionalFormatting>
  <conditionalFormatting sqref="P5:P33">
    <cfRule type="expression" priority="13" dxfId="1">
      <formula>P$6&gt;$B$3</formula>
    </cfRule>
  </conditionalFormatting>
  <conditionalFormatting sqref="Q5:Q33">
    <cfRule type="expression" priority="14" dxfId="1">
      <formula>Q$6&gt;$B$3</formula>
    </cfRule>
  </conditionalFormatting>
  <conditionalFormatting sqref="R5:R33">
    <cfRule type="expression" priority="15" dxfId="1">
      <formula>R$6&gt;$B$3</formula>
    </cfRule>
  </conditionalFormatting>
  <conditionalFormatting sqref="S5:S33">
    <cfRule type="expression" priority="16" dxfId="1">
      <formula>S$6&gt;$B$3</formula>
    </cfRule>
  </conditionalFormatting>
  <conditionalFormatting sqref="T5:T33">
    <cfRule type="expression" priority="17" dxfId="1">
      <formula>T$6&gt;$B$3</formula>
    </cfRule>
  </conditionalFormatting>
  <conditionalFormatting sqref="U5:U33">
    <cfRule type="expression" priority="18" dxfId="1">
      <formula>U$6&gt;$B$3</formula>
    </cfRule>
  </conditionalFormatting>
  <conditionalFormatting sqref="V5:V33">
    <cfRule type="expression" priority="19" dxfId="1">
      <formula>V$6&gt;$B$3</formula>
    </cfRule>
  </conditionalFormatting>
  <conditionalFormatting sqref="W5:W33">
    <cfRule type="expression" priority="20" dxfId="1">
      <formula>W$6&gt;$B$3</formula>
    </cfRule>
  </conditionalFormatting>
  <conditionalFormatting sqref="X5:X33">
    <cfRule type="expression" priority="21" dxfId="1">
      <formula>X$6&gt;$B$3</formula>
    </cfRule>
  </conditionalFormatting>
  <conditionalFormatting sqref="Y5:Y33">
    <cfRule type="expression" priority="22" dxfId="1">
      <formula>Y$6&gt;$B$3</formula>
    </cfRule>
  </conditionalFormatting>
  <conditionalFormatting sqref="Z5:Z33">
    <cfRule type="expression" priority="23" dxfId="1">
      <formula>Z$6&gt;$B$3</formula>
    </cfRule>
  </conditionalFormatting>
  <conditionalFormatting sqref="AA5:AA33">
    <cfRule type="expression" priority="24" dxfId="1">
      <formula>AA$6&gt;$B$3</formula>
    </cfRule>
  </conditionalFormatting>
  <conditionalFormatting sqref="AB5:AB33">
    <cfRule type="expression" priority="25" dxfId="1">
      <formula>AB$6&gt;$B$3</formula>
    </cfRule>
  </conditionalFormatting>
  <conditionalFormatting sqref="AC5:AC33">
    <cfRule type="expression" priority="26" dxfId="1">
      <formula>AC$6&gt;$B$3</formula>
    </cfRule>
  </conditionalFormatting>
  <conditionalFormatting sqref="AD5:AD33">
    <cfRule type="expression" priority="27" dxfId="1">
      <formula>AD$6&gt;$B$3</formula>
    </cfRule>
  </conditionalFormatting>
  <conditionalFormatting sqref="AE5:AE33">
    <cfRule type="expression" priority="28" dxfId="1">
      <formula>AE$6&gt;$B$3</formula>
    </cfRule>
  </conditionalFormatting>
  <conditionalFormatting sqref="AF5:AF33">
    <cfRule type="expression" priority="29" dxfId="1">
      <formula>AF$6&gt;$B$3</formula>
    </cfRule>
  </conditionalFormatting>
  <conditionalFormatting sqref="AG5:AG33">
    <cfRule type="expression" priority="30" dxfId="1">
      <formula>AG$6&gt;$B$3</formula>
    </cfRule>
  </conditionalFormatting>
  <conditionalFormatting sqref="AH5:AH33">
    <cfRule type="expression" priority="31" dxfId="1">
      <formula>AH$6&gt;$B$3</formula>
    </cfRule>
  </conditionalFormatting>
  <conditionalFormatting sqref="AI5:AI33">
    <cfRule type="expression" priority="32" dxfId="1">
      <formula>AI$6&gt;$B$3</formula>
    </cfRule>
  </conditionalFormatting>
  <dataValidations count="1">
    <dataValidation sqref="E7 E8 E9 E10 E11 E12 E13 E14 E15 E16 E17 E18 E19 E20 E21 E22 E23 E24 E25 E26 F7 F8 F9 F10 F11 F12 F13 F14 F15 F16 F17 F18 F19 F20 F21 F22 F23 F24 F25 F26 G7 G8 G9 G10 G11 G12 G13 G14 G15 G16 G17 G18 G19 G20 G21 G22 G23 G24 G25 G26 H7 H8 H9 H10 H11 H12 H13 H14 H15 H16 H17 H18 H19 H20 H21 H22 H23 H24 H25 H26 I7 I8 I9 I10 I11 I12 I13 I14 I15 I16 I17 I18 I19 I20 I21 I22 I23 I24 I25 I26 J7 J8 J9 J10 J11 J12 J13 J14 J15 J16 J17 J18 J19 J20 J21 J22 J23 J24 J25 J26 K7 K8 K9 K10 K11 K12 K13 K14 K15 K16 K17 K18 K19 K20 K21 K22 K23 K24 K25 K26 L7 L8 L9 L10 L11 L12 L13 L14 L15 L16 L17 L18 L19 L20 L21 L22 L23 L24 L25 L26 M7 M8 M9 M10 M11 M12 M13 M14 M15 M16 M17 M18 M19 M20 M21 M22 M23 M24 M25 M26 N7 N8 N9 N10 N11 N12 N13 N14 N15 N16 N17 N18 N19 N20 N21 N22 N23 N24 N25 N26 O7 O8 O9 O10 O11 O12 O13 O14 O15 O16 O17 O18 O19 O20 O21 O22 O23 O24 O25 O26 P7 P8 P9 P10 P11 P12 P13 P14 P15 P16 P17 P18 P19 P20 P21 P22 P23 P24 P25 P26 Q7 Q8 Q9 Q10 Q11 Q12 Q13 Q14 Q15 Q16 Q17 Q18 Q19 Q20 Q21 Q22 Q23 Q24 Q25 Q26 R7 R8 R9 R10 R11 R12 R13 R14 R15 R16 R17 R18 R19 R20 R21 R22 R23 R24 R25 R26 S7 S8 S9 S10 S11 S12 S13 S14 S15 S16 S17 S18 S19 S20 S21 S22 S23 S24 S25 S26 T7 T8 T9 T10 T11 T12 T13 T14 T15 T16 T17 T18 T19 T20 T21 T22 T23 T24 T25 T26 U7 U8 U9 U10 U11 U12 U13 U14 U15 U16 U17 U18 U19 U20 U21 U22 U23 U24 U25 U26 V7 V8 V9 V10 V11 V12 V13 V14 V15 V16 V17 V18 V19 V20 V21 V22 V23 V24 V25 V26 W7 W8 W9 W10 W11 W12 W13 W14 W15 W16 W17 W18 W19 W20 W21 W22 W23 W24 W25 W26 X7 X8 X9 X10 X11 X12 X13 X14 X15 X16 X17 X18 X19 X20 X21 X22 X23 X24 X25 X26 Y7 Y8 Y9 Y10 Y11 Y12 Y13 Y14 Y15 Y16 Y17 Y18 Y19 Y20 Y21 Y22 Y23 Y24 Y25 Y26 Z7 Z8 Z9 Z10 Z11 Z12 Z13 Z14 Z15 Z16 Z17 Z18 Z19 Z20 Z21 Z22 Z23 Z24 Z25 Z26 AA7 AA8 AA9 AA10 AA11 AA12 AA13 AA14 AA15 AA16 AA17 AA18 AA19 AA20 AA21 AA22 AA23 AA24 AA25 AA26 AB7 AB8 AB9 AB10 AB11 AB12 AB13 AB14 AB15 AB16 AB17 AB18 AB19 AB20 AB21 AB22 AB23 AB24 AB25 AB26 AC7 AC8 AC9 AC10 AC11 AC12 AC13 AC14 AC15 AC16 AC17 AC18 AC19 AC20 AC21 AC22 AC23 AC24 AC25 AC26 AD7 AD8 AD9 AD10 AD11 AD12 AD13 AD14 AD15 AD16 AD17 AD18 AD19 AD20 AD21 AD22 AD23 AD24 AD25 AD26 AE7 AE8 AE9 AE10 AE11 AE12 AE13 AE14 AE15 AE16 AE17 AE18 AE19 AE20 AE21 AE22 AE23 AE24 AE25 AE26 AF7 AF8 AF9 AF10 AF11 AF12 AF13 AF14 AF15 AF16 AF17 AF18 AF19 AF20 AF21 AF22 AF23 AF24 AF25 AF26 AG7 AG8 AG9 AG10 AG11 AG12 AG13 AG14 AG15 AG16 AG17 AG18 AG19 AG20 AG21 AG22 AG23 AG24 AG25 AG26 AH7 AH8 AH9 AH10 AH11 AH12 AH13 AH14 AH15 AH16 AH17 AH18 AH19 AH20 AH21 AH22 AH23 AH24 AH25 AH26 AI7 AI8 AI9 AI10 AI11 AI12 AI13 AI14 AI15 AI16 AI17 AI18 AI19 AI20 AI21 AI22 AI23 AI24 AI25 AI26" showDropDown="0" showInputMessage="0" showErrorMessage="0" allowBlank="1" type="list">
      <formula1>"0,1"</formula1>
    </dataValidation>
  </dataValidation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M3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9"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7" customWidth="1" min="36" max="36"/>
    <col width="18" customWidth="1" min="38" max="38"/>
    <col width="12" customWidth="1" min="39" max="39"/>
  </cols>
  <sheetData>
    <row r="1">
      <c r="A1" s="15" t="inlineStr">
        <is>
          <t>Sep Habit Tracker</t>
        </is>
      </c>
    </row>
    <row r="2">
      <c r="A2" s="10" t="inlineStr">
        <is>
          <t>Year:</t>
        </is>
      </c>
      <c r="B2">
        <f>Setup!$B$3</f>
        <v/>
      </c>
      <c r="C2" s="10" t="inlineStr">
        <is>
          <t>Month:</t>
        </is>
      </c>
      <c r="D2" t="inlineStr">
        <is>
          <t>Sep</t>
        </is>
      </c>
    </row>
    <row r="3">
      <c r="A3" s="10" t="inlineStr">
        <is>
          <t>Days in month:</t>
        </is>
      </c>
      <c r="B3">
        <f>DAY(EOMONTH(DATE(Setup!$B$3,9,1),0))</f>
        <v/>
      </c>
    </row>
    <row r="5" ht="18" customHeight="1">
      <c r="E5" s="16">
        <f>TEXT(DATE(Setup!$B$3,9,1),"ddd")</f>
        <v/>
      </c>
      <c r="F5" s="16">
        <f>TEXT(DATE(Setup!$B$3,9,2),"ddd")</f>
        <v/>
      </c>
      <c r="G5" s="16">
        <f>TEXT(DATE(Setup!$B$3,9,3),"ddd")</f>
        <v/>
      </c>
      <c r="H5" s="16">
        <f>TEXT(DATE(Setup!$B$3,9,4),"ddd")</f>
        <v/>
      </c>
      <c r="I5" s="16">
        <f>TEXT(DATE(Setup!$B$3,9,5),"ddd")</f>
        <v/>
      </c>
      <c r="J5" s="16">
        <f>TEXT(DATE(Setup!$B$3,9,6),"ddd")</f>
        <v/>
      </c>
      <c r="K5" s="16">
        <f>TEXT(DATE(Setup!$B$3,9,7),"ddd")</f>
        <v/>
      </c>
      <c r="L5" s="16">
        <f>TEXT(DATE(Setup!$B$3,9,8),"ddd")</f>
        <v/>
      </c>
      <c r="M5" s="16">
        <f>TEXT(DATE(Setup!$B$3,9,9),"ddd")</f>
        <v/>
      </c>
      <c r="N5" s="16">
        <f>TEXT(DATE(Setup!$B$3,9,10),"ddd")</f>
        <v/>
      </c>
      <c r="O5" s="16">
        <f>TEXT(DATE(Setup!$B$3,9,11),"ddd")</f>
        <v/>
      </c>
      <c r="P5" s="16">
        <f>TEXT(DATE(Setup!$B$3,9,12),"ddd")</f>
        <v/>
      </c>
      <c r="Q5" s="16">
        <f>TEXT(DATE(Setup!$B$3,9,13),"ddd")</f>
        <v/>
      </c>
      <c r="R5" s="16">
        <f>TEXT(DATE(Setup!$B$3,9,14),"ddd")</f>
        <v/>
      </c>
      <c r="S5" s="16">
        <f>TEXT(DATE(Setup!$B$3,9,15),"ddd")</f>
        <v/>
      </c>
      <c r="T5" s="16">
        <f>TEXT(DATE(Setup!$B$3,9,16),"ddd")</f>
        <v/>
      </c>
      <c r="U5" s="16">
        <f>TEXT(DATE(Setup!$B$3,9,17),"ddd")</f>
        <v/>
      </c>
      <c r="V5" s="16">
        <f>TEXT(DATE(Setup!$B$3,9,18),"ddd")</f>
        <v/>
      </c>
      <c r="W5" s="16">
        <f>TEXT(DATE(Setup!$B$3,9,19),"ddd")</f>
        <v/>
      </c>
      <c r="X5" s="16">
        <f>TEXT(DATE(Setup!$B$3,9,20),"ddd")</f>
        <v/>
      </c>
      <c r="Y5" s="16">
        <f>TEXT(DATE(Setup!$B$3,9,21),"ddd")</f>
        <v/>
      </c>
      <c r="Z5" s="16">
        <f>TEXT(DATE(Setup!$B$3,9,22),"ddd")</f>
        <v/>
      </c>
      <c r="AA5" s="16">
        <f>TEXT(DATE(Setup!$B$3,9,23),"ddd")</f>
        <v/>
      </c>
      <c r="AB5" s="16">
        <f>TEXT(DATE(Setup!$B$3,9,24),"ddd")</f>
        <v/>
      </c>
      <c r="AC5" s="16">
        <f>TEXT(DATE(Setup!$B$3,9,25),"ddd")</f>
        <v/>
      </c>
      <c r="AD5" s="16">
        <f>TEXT(DATE(Setup!$B$3,9,26),"ddd")</f>
        <v/>
      </c>
      <c r="AE5" s="16">
        <f>TEXT(DATE(Setup!$B$3,9,27),"ddd")</f>
        <v/>
      </c>
      <c r="AF5" s="16">
        <f>TEXT(DATE(Setup!$B$3,9,28),"ddd")</f>
        <v/>
      </c>
      <c r="AG5" s="16">
        <f>TEXT(DATE(Setup!$B$3,9,29),"ddd")</f>
        <v/>
      </c>
      <c r="AH5" s="16">
        <f>TEXT(DATE(Setup!$B$3,9,30),"ddd")</f>
        <v/>
      </c>
      <c r="AI5" s="16">
        <f>TEXT(DATE(Setup!$B$3,9,31),"ddd")</f>
        <v/>
      </c>
    </row>
    <row r="6" ht="18" customHeight="1">
      <c r="A6" s="17" t="inlineStr">
        <is>
          <t>Active</t>
        </is>
      </c>
      <c r="B6" s="17" t="inlineStr">
        <is>
          <t>Habit</t>
        </is>
      </c>
      <c r="C6" s="17" t="inlineStr">
        <is>
          <t>Type</t>
        </is>
      </c>
      <c r="D6" s="17" t="inlineStr">
        <is>
          <t>Points</t>
        </is>
      </c>
      <c r="E6" s="18" t="n">
        <v>1</v>
      </c>
      <c r="F6" s="18" t="n">
        <v>2</v>
      </c>
      <c r="G6" s="18" t="n">
        <v>3</v>
      </c>
      <c r="H6" s="18" t="n">
        <v>4</v>
      </c>
      <c r="I6" s="18" t="n">
        <v>5</v>
      </c>
      <c r="J6" s="18" t="n">
        <v>6</v>
      </c>
      <c r="K6" s="18" t="n">
        <v>7</v>
      </c>
      <c r="L6" s="18" t="n">
        <v>8</v>
      </c>
      <c r="M6" s="18" t="n">
        <v>9</v>
      </c>
      <c r="N6" s="18" t="n">
        <v>10</v>
      </c>
      <c r="O6" s="18" t="n">
        <v>11</v>
      </c>
      <c r="P6" s="18" t="n">
        <v>12</v>
      </c>
      <c r="Q6" s="18" t="n">
        <v>13</v>
      </c>
      <c r="R6" s="18" t="n">
        <v>14</v>
      </c>
      <c r="S6" s="18" t="n">
        <v>15</v>
      </c>
      <c r="T6" s="18" t="n">
        <v>16</v>
      </c>
      <c r="U6" s="18" t="n">
        <v>17</v>
      </c>
      <c r="V6" s="18" t="n">
        <v>18</v>
      </c>
      <c r="W6" s="18" t="n">
        <v>19</v>
      </c>
      <c r="X6" s="18" t="n">
        <v>20</v>
      </c>
      <c r="Y6" s="18" t="n">
        <v>21</v>
      </c>
      <c r="Z6" s="18" t="n">
        <v>22</v>
      </c>
      <c r="AA6" s="18" t="n">
        <v>23</v>
      </c>
      <c r="AB6" s="18" t="n">
        <v>24</v>
      </c>
      <c r="AC6" s="18" t="n">
        <v>25</v>
      </c>
      <c r="AD6" s="18" t="n">
        <v>26</v>
      </c>
      <c r="AE6" s="18" t="n">
        <v>27</v>
      </c>
      <c r="AF6" s="18" t="n">
        <v>28</v>
      </c>
      <c r="AG6" s="18" t="n">
        <v>29</v>
      </c>
      <c r="AH6" s="18" t="n">
        <v>30</v>
      </c>
      <c r="AI6" s="18" t="n">
        <v>31</v>
      </c>
      <c r="AJ6" s="17" t="inlineStr">
        <is>
          <t>Total</t>
        </is>
      </c>
    </row>
    <row r="7">
      <c r="A7" s="19">
        <f>Setup!D9</f>
        <v/>
      </c>
      <c r="B7" s="20">
        <f>Setup!A9</f>
        <v/>
      </c>
      <c r="C7" s="19">
        <f>Setup!B9</f>
        <v/>
      </c>
      <c r="D7" s="19">
        <f>Setup!E9</f>
        <v/>
      </c>
      <c r="E7" s="21" t="inlineStr"/>
      <c r="F7" s="21" t="inlineStr"/>
      <c r="G7" s="21" t="inlineStr"/>
      <c r="H7" s="21" t="inlineStr"/>
      <c r="I7" s="21" t="inlineStr"/>
      <c r="J7" s="21" t="inlineStr"/>
      <c r="K7" s="21" t="inlineStr"/>
      <c r="L7" s="21" t="inlineStr"/>
      <c r="M7" s="21" t="inlineStr"/>
      <c r="N7" s="21" t="inlineStr"/>
      <c r="O7" s="21" t="inlineStr"/>
      <c r="P7" s="21" t="inlineStr"/>
      <c r="Q7" s="21" t="inlineStr"/>
      <c r="R7" s="21" t="inlineStr"/>
      <c r="S7" s="21" t="inlineStr"/>
      <c r="T7" s="21" t="inlineStr"/>
      <c r="U7" s="21" t="inlineStr"/>
      <c r="V7" s="21" t="inlineStr"/>
      <c r="W7" s="21" t="inlineStr"/>
      <c r="X7" s="21" t="inlineStr"/>
      <c r="Y7" s="21" t="inlineStr"/>
      <c r="Z7" s="21" t="inlineStr"/>
      <c r="AA7" s="21" t="inlineStr"/>
      <c r="AB7" s="21" t="inlineStr"/>
      <c r="AC7" s="21" t="inlineStr"/>
      <c r="AD7" s="21" t="inlineStr"/>
      <c r="AE7" s="21" t="inlineStr"/>
      <c r="AF7" s="21" t="inlineStr"/>
      <c r="AG7" s="21" t="inlineStr"/>
      <c r="AH7" s="21" t="inlineStr"/>
      <c r="AI7" s="21" t="inlineStr"/>
      <c r="AJ7" s="22">
        <f>IF($A7=1,SUMPRODUCT(($E$6:$AI$6&lt;=$B$3)*(E7:AI7)),"")</f>
        <v/>
      </c>
    </row>
    <row r="8">
      <c r="A8" s="19">
        <f>Setup!D10</f>
        <v/>
      </c>
      <c r="B8" s="20">
        <f>Setup!A10</f>
        <v/>
      </c>
      <c r="C8" s="19">
        <f>Setup!B10</f>
        <v/>
      </c>
      <c r="D8" s="19">
        <f>Setup!E10</f>
        <v/>
      </c>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2">
        <f>IF($A8=1,SUMPRODUCT(($E$6:$AI$6&lt;=$B$3)*(E8:AI8)),"")</f>
        <v/>
      </c>
    </row>
    <row r="9">
      <c r="A9" s="19">
        <f>Setup!D11</f>
        <v/>
      </c>
      <c r="B9" s="20">
        <f>Setup!A11</f>
        <v/>
      </c>
      <c r="C9" s="19">
        <f>Setup!B11</f>
        <v/>
      </c>
      <c r="D9" s="19">
        <f>Setup!E11</f>
        <v/>
      </c>
      <c r="E9" s="21" t="inlineStr"/>
      <c r="F9" s="21" t="inlineStr"/>
      <c r="G9" s="21" t="inlineStr"/>
      <c r="H9" s="21" t="inlineStr"/>
      <c r="I9" s="21" t="inlineStr"/>
      <c r="J9" s="21" t="inlineStr"/>
      <c r="K9" s="21" t="inlineStr"/>
      <c r="L9" s="21" t="inlineStr"/>
      <c r="M9" s="21" t="inlineStr"/>
      <c r="N9" s="21" t="inlineStr"/>
      <c r="O9" s="21" t="inlineStr"/>
      <c r="P9" s="21" t="inlineStr"/>
      <c r="Q9" s="21" t="inlineStr"/>
      <c r="R9" s="21" t="inlineStr"/>
      <c r="S9" s="21" t="inlineStr"/>
      <c r="T9" s="21" t="inlineStr"/>
      <c r="U9" s="21" t="inlineStr"/>
      <c r="V9" s="21" t="inlineStr"/>
      <c r="W9" s="21" t="inlineStr"/>
      <c r="X9" s="21" t="inlineStr"/>
      <c r="Y9" s="21" t="inlineStr"/>
      <c r="Z9" s="21" t="inlineStr"/>
      <c r="AA9" s="21" t="inlineStr"/>
      <c r="AB9" s="21" t="inlineStr"/>
      <c r="AC9" s="21" t="inlineStr"/>
      <c r="AD9" s="21" t="inlineStr"/>
      <c r="AE9" s="21" t="inlineStr"/>
      <c r="AF9" s="21" t="inlineStr"/>
      <c r="AG9" s="21" t="inlineStr"/>
      <c r="AH9" s="21" t="inlineStr"/>
      <c r="AI9" s="21" t="inlineStr"/>
      <c r="AJ9" s="22">
        <f>IF($A9=1,SUMPRODUCT(($E$6:$AI$6&lt;=$B$3)*(E9:AI9)),"")</f>
        <v/>
      </c>
    </row>
    <row r="10">
      <c r="A10" s="19">
        <f>Setup!D12</f>
        <v/>
      </c>
      <c r="B10" s="20">
        <f>Setup!A12</f>
        <v/>
      </c>
      <c r="C10" s="19">
        <f>Setup!B12</f>
        <v/>
      </c>
      <c r="D10" s="19">
        <f>Setup!E12</f>
        <v/>
      </c>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2">
        <f>IF($A10=1,SUMPRODUCT(($E$6:$AI$6&lt;=$B$3)*(E10:AI10)),"")</f>
        <v/>
      </c>
    </row>
    <row r="11">
      <c r="A11" s="19">
        <f>Setup!D13</f>
        <v/>
      </c>
      <c r="B11" s="20">
        <f>Setup!A13</f>
        <v/>
      </c>
      <c r="C11" s="19">
        <f>Setup!B13</f>
        <v/>
      </c>
      <c r="D11" s="19">
        <f>Setup!E13</f>
        <v/>
      </c>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c r="R11" s="21" t="inlineStr"/>
      <c r="S11" s="21" t="inlineStr"/>
      <c r="T11" s="21" t="inlineStr"/>
      <c r="U11" s="21" t="inlineStr"/>
      <c r="V11" s="21" t="inlineStr"/>
      <c r="W11" s="21" t="inlineStr"/>
      <c r="X11" s="21" t="inlineStr"/>
      <c r="Y11" s="21" t="inlineStr"/>
      <c r="Z11" s="21" t="inlineStr"/>
      <c r="AA11" s="21" t="inlineStr"/>
      <c r="AB11" s="21" t="inlineStr"/>
      <c r="AC11" s="21" t="inlineStr"/>
      <c r="AD11" s="21" t="inlineStr"/>
      <c r="AE11" s="21" t="inlineStr"/>
      <c r="AF11" s="21" t="inlineStr"/>
      <c r="AG11" s="21" t="inlineStr"/>
      <c r="AH11" s="21" t="inlineStr"/>
      <c r="AI11" s="21" t="inlineStr"/>
      <c r="AJ11" s="22">
        <f>IF($A11=1,SUMPRODUCT(($E$6:$AI$6&lt;=$B$3)*(E11:AI11)),"")</f>
        <v/>
      </c>
    </row>
    <row r="12">
      <c r="A12" s="19">
        <f>Setup!D14</f>
        <v/>
      </c>
      <c r="B12" s="20">
        <f>Setup!A14</f>
        <v/>
      </c>
      <c r="C12" s="19">
        <f>Setup!B14</f>
        <v/>
      </c>
      <c r="D12" s="19">
        <f>Setup!E14</f>
        <v/>
      </c>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2">
        <f>IF($A12=1,SUMPRODUCT(($E$6:$AI$6&lt;=$B$3)*(E12:AI12)),"")</f>
        <v/>
      </c>
    </row>
    <row r="13">
      <c r="A13" s="19">
        <f>Setup!D15</f>
        <v/>
      </c>
      <c r="B13" s="20">
        <f>Setup!A15</f>
        <v/>
      </c>
      <c r="C13" s="19">
        <f>Setup!B15</f>
        <v/>
      </c>
      <c r="D13" s="19">
        <f>Setup!E15</f>
        <v/>
      </c>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c r="U13" s="21" t="inlineStr"/>
      <c r="V13" s="21" t="inlineStr"/>
      <c r="W13" s="21" t="inlineStr"/>
      <c r="X13" s="21" t="inlineStr"/>
      <c r="Y13" s="21" t="inlineStr"/>
      <c r="Z13" s="21" t="inlineStr"/>
      <c r="AA13" s="21" t="inlineStr"/>
      <c r="AB13" s="21" t="inlineStr"/>
      <c r="AC13" s="21" t="inlineStr"/>
      <c r="AD13" s="21" t="inlineStr"/>
      <c r="AE13" s="21" t="inlineStr"/>
      <c r="AF13" s="21" t="inlineStr"/>
      <c r="AG13" s="21" t="inlineStr"/>
      <c r="AH13" s="21" t="inlineStr"/>
      <c r="AI13" s="21" t="inlineStr"/>
      <c r="AJ13" s="22">
        <f>IF($A13=1,SUMPRODUCT(($E$6:$AI$6&lt;=$B$3)*(E13:AI13)),"")</f>
        <v/>
      </c>
    </row>
    <row r="14">
      <c r="A14" s="19">
        <f>Setup!D16</f>
        <v/>
      </c>
      <c r="B14" s="20">
        <f>Setup!A16</f>
        <v/>
      </c>
      <c r="C14" s="19">
        <f>Setup!B16</f>
        <v/>
      </c>
      <c r="D14" s="19">
        <f>Setup!E16</f>
        <v/>
      </c>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2">
        <f>IF($A14=1,SUMPRODUCT(($E$6:$AI$6&lt;=$B$3)*(E14:AI14)),"")</f>
        <v/>
      </c>
    </row>
    <row r="15">
      <c r="A15" s="19">
        <f>Setup!D17</f>
        <v/>
      </c>
      <c r="B15" s="20">
        <f>Setup!A17</f>
        <v/>
      </c>
      <c r="C15" s="19">
        <f>Setup!B17</f>
        <v/>
      </c>
      <c r="D15" s="19">
        <f>Setup!E17</f>
        <v/>
      </c>
      <c r="E15" s="21" t="inlineStr"/>
      <c r="F15" s="21" t="inlineStr"/>
      <c r="G15" s="21" t="inlineStr"/>
      <c r="H15" s="21" t="inlineStr"/>
      <c r="I15" s="21" t="inlineStr"/>
      <c r="J15" s="21" t="inlineStr"/>
      <c r="K15" s="21" t="inlineStr"/>
      <c r="L15" s="21" t="inlineStr"/>
      <c r="M15" s="21" t="inlineStr"/>
      <c r="N15" s="21" t="inlineStr"/>
      <c r="O15" s="21" t="inlineStr"/>
      <c r="P15" s="21" t="inlineStr"/>
      <c r="Q15" s="21" t="inlineStr"/>
      <c r="R15" s="21" t="inlineStr"/>
      <c r="S15" s="21" t="inlineStr"/>
      <c r="T15" s="21" t="inlineStr"/>
      <c r="U15" s="21" t="inlineStr"/>
      <c r="V15" s="21" t="inlineStr"/>
      <c r="W15" s="21" t="inlineStr"/>
      <c r="X15" s="21" t="inlineStr"/>
      <c r="Y15" s="21" t="inlineStr"/>
      <c r="Z15" s="21" t="inlineStr"/>
      <c r="AA15" s="21" t="inlineStr"/>
      <c r="AB15" s="21" t="inlineStr"/>
      <c r="AC15" s="21" t="inlineStr"/>
      <c r="AD15" s="21" t="inlineStr"/>
      <c r="AE15" s="21" t="inlineStr"/>
      <c r="AF15" s="21" t="inlineStr"/>
      <c r="AG15" s="21" t="inlineStr"/>
      <c r="AH15" s="21" t="inlineStr"/>
      <c r="AI15" s="21" t="inlineStr"/>
      <c r="AJ15" s="22">
        <f>IF($A15=1,SUMPRODUCT(($E$6:$AI$6&lt;=$B$3)*(E15:AI15)),"")</f>
        <v/>
      </c>
    </row>
    <row r="16">
      <c r="A16" s="19">
        <f>Setup!D18</f>
        <v/>
      </c>
      <c r="B16" s="20">
        <f>Setup!A18</f>
        <v/>
      </c>
      <c r="C16" s="19">
        <f>Setup!B18</f>
        <v/>
      </c>
      <c r="D16" s="19">
        <f>Setup!E18</f>
        <v/>
      </c>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2">
        <f>IF($A16=1,SUMPRODUCT(($E$6:$AI$6&lt;=$B$3)*(E16:AI16)),"")</f>
        <v/>
      </c>
    </row>
    <row r="17">
      <c r="A17" s="19">
        <f>Setup!D19</f>
        <v/>
      </c>
      <c r="B17" s="20">
        <f>Setup!A19</f>
        <v/>
      </c>
      <c r="C17" s="19">
        <f>Setup!B19</f>
        <v/>
      </c>
      <c r="D17" s="19">
        <f>Setup!E19</f>
        <v/>
      </c>
      <c r="E17" s="21" t="inlineStr"/>
      <c r="F17" s="21" t="inlineStr"/>
      <c r="G17" s="21" t="inlineStr"/>
      <c r="H17" s="21" t="inlineStr"/>
      <c r="I17" s="21" t="inlineStr"/>
      <c r="J17" s="21" t="inlineStr"/>
      <c r="K17" s="21" t="inlineStr"/>
      <c r="L17" s="21" t="inlineStr"/>
      <c r="M17" s="21" t="inlineStr"/>
      <c r="N17" s="21" t="inlineStr"/>
      <c r="O17" s="21" t="inlineStr"/>
      <c r="P17" s="21" t="inlineStr"/>
      <c r="Q17" s="21" t="inlineStr"/>
      <c r="R17" s="21" t="inlineStr"/>
      <c r="S17" s="21" t="inlineStr"/>
      <c r="T17" s="21" t="inlineStr"/>
      <c r="U17" s="21" t="inlineStr"/>
      <c r="V17" s="21" t="inlineStr"/>
      <c r="W17" s="21" t="inlineStr"/>
      <c r="X17" s="21" t="inlineStr"/>
      <c r="Y17" s="21" t="inlineStr"/>
      <c r="Z17" s="21" t="inlineStr"/>
      <c r="AA17" s="21" t="inlineStr"/>
      <c r="AB17" s="21" t="inlineStr"/>
      <c r="AC17" s="21" t="inlineStr"/>
      <c r="AD17" s="21" t="inlineStr"/>
      <c r="AE17" s="21" t="inlineStr"/>
      <c r="AF17" s="21" t="inlineStr"/>
      <c r="AG17" s="21" t="inlineStr"/>
      <c r="AH17" s="21" t="inlineStr"/>
      <c r="AI17" s="21" t="inlineStr"/>
      <c r="AJ17" s="22">
        <f>IF($A17=1,SUMPRODUCT(($E$6:$AI$6&lt;=$B$3)*(E17:AI17)),"")</f>
        <v/>
      </c>
    </row>
    <row r="18">
      <c r="A18" s="19">
        <f>Setup!D20</f>
        <v/>
      </c>
      <c r="B18" s="20">
        <f>Setup!A20</f>
        <v/>
      </c>
      <c r="C18" s="19">
        <f>Setup!B20</f>
        <v/>
      </c>
      <c r="D18" s="19">
        <f>Setup!E20</f>
        <v/>
      </c>
      <c r="E18" s="21" t="inlineStr"/>
      <c r="F18" s="21" t="inlineStr"/>
      <c r="G18" s="21" t="inlineStr"/>
      <c r="H18" s="21" t="inlineStr"/>
      <c r="I18" s="21" t="inlineStr"/>
      <c r="J18" s="21" t="inlineStr"/>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2">
        <f>IF($A18=1,SUMPRODUCT(($E$6:$AI$6&lt;=$B$3)*(E18:AI18)),"")</f>
        <v/>
      </c>
    </row>
    <row r="19">
      <c r="A19" s="19">
        <f>Setup!D21</f>
        <v/>
      </c>
      <c r="B19" s="20">
        <f>Setup!A21</f>
        <v/>
      </c>
      <c r="C19" s="19">
        <f>Setup!B21</f>
        <v/>
      </c>
      <c r="D19" s="19">
        <f>Setup!E21</f>
        <v/>
      </c>
      <c r="E19" s="21" t="inlineStr"/>
      <c r="F19" s="21" t="inlineStr"/>
      <c r="G19" s="21" t="inlineStr"/>
      <c r="H19" s="21" t="inlineStr"/>
      <c r="I19" s="21" t="inlineStr"/>
      <c r="J19" s="21" t="inlineStr"/>
      <c r="K19" s="21" t="inlineStr"/>
      <c r="L19" s="21" t="inlineStr"/>
      <c r="M19" s="21" t="inlineStr"/>
      <c r="N19" s="21" t="inlineStr"/>
      <c r="O19" s="21" t="inlineStr"/>
      <c r="P19" s="21" t="inlineStr"/>
      <c r="Q19" s="21" t="inlineStr"/>
      <c r="R19" s="21" t="inlineStr"/>
      <c r="S19" s="21" t="inlineStr"/>
      <c r="T19" s="21" t="inlineStr"/>
      <c r="U19" s="21" t="inlineStr"/>
      <c r="V19" s="21" t="inlineStr"/>
      <c r="W19" s="21" t="inlineStr"/>
      <c r="X19" s="21" t="inlineStr"/>
      <c r="Y19" s="21" t="inlineStr"/>
      <c r="Z19" s="21" t="inlineStr"/>
      <c r="AA19" s="21" t="inlineStr"/>
      <c r="AB19" s="21" t="inlineStr"/>
      <c r="AC19" s="21" t="inlineStr"/>
      <c r="AD19" s="21" t="inlineStr"/>
      <c r="AE19" s="21" t="inlineStr"/>
      <c r="AF19" s="21" t="inlineStr"/>
      <c r="AG19" s="21" t="inlineStr"/>
      <c r="AH19" s="21" t="inlineStr"/>
      <c r="AI19" s="21" t="inlineStr"/>
      <c r="AJ19" s="22">
        <f>IF($A19=1,SUMPRODUCT(($E$6:$AI$6&lt;=$B$3)*(E19:AI19)),"")</f>
        <v/>
      </c>
    </row>
    <row r="20">
      <c r="A20" s="19">
        <f>Setup!D22</f>
        <v/>
      </c>
      <c r="B20" s="20">
        <f>Setup!A22</f>
        <v/>
      </c>
      <c r="C20" s="19">
        <f>Setup!B22</f>
        <v/>
      </c>
      <c r="D20" s="19">
        <f>Setup!E22</f>
        <v/>
      </c>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2">
        <f>IF($A20=1,SUMPRODUCT(($E$6:$AI$6&lt;=$B$3)*(E20:AI20)),"")</f>
        <v/>
      </c>
    </row>
    <row r="21">
      <c r="A21" s="19">
        <f>Setup!D23</f>
        <v/>
      </c>
      <c r="B21" s="20">
        <f>Setup!A23</f>
        <v/>
      </c>
      <c r="C21" s="19">
        <f>Setup!B23</f>
        <v/>
      </c>
      <c r="D21" s="19">
        <f>Setup!E23</f>
        <v/>
      </c>
      <c r="E21" s="21" t="inlineStr"/>
      <c r="F21" s="21" t="inlineStr"/>
      <c r="G21" s="21" t="inlineStr"/>
      <c r="H21" s="21" t="inlineStr"/>
      <c r="I21" s="21" t="inlineStr"/>
      <c r="J21" s="21" t="inlineStr"/>
      <c r="K21" s="21" t="inlineStr"/>
      <c r="L21" s="21" t="inlineStr"/>
      <c r="M21" s="21" t="inlineStr"/>
      <c r="N21" s="21" t="inlineStr"/>
      <c r="O21" s="21" t="inlineStr"/>
      <c r="P21" s="21" t="inlineStr"/>
      <c r="Q21" s="21" t="inlineStr"/>
      <c r="R21" s="21" t="inlineStr"/>
      <c r="S21" s="21" t="inlineStr"/>
      <c r="T21" s="21" t="inlineStr"/>
      <c r="U21" s="21" t="inlineStr"/>
      <c r="V21" s="21" t="inlineStr"/>
      <c r="W21" s="21" t="inlineStr"/>
      <c r="X21" s="21" t="inlineStr"/>
      <c r="Y21" s="21" t="inlineStr"/>
      <c r="Z21" s="21" t="inlineStr"/>
      <c r="AA21" s="21" t="inlineStr"/>
      <c r="AB21" s="21" t="inlineStr"/>
      <c r="AC21" s="21" t="inlineStr"/>
      <c r="AD21" s="21" t="inlineStr"/>
      <c r="AE21" s="21" t="inlineStr"/>
      <c r="AF21" s="21" t="inlineStr"/>
      <c r="AG21" s="21" t="inlineStr"/>
      <c r="AH21" s="21" t="inlineStr"/>
      <c r="AI21" s="21" t="inlineStr"/>
      <c r="AJ21" s="22">
        <f>IF($A21=1,SUMPRODUCT(($E$6:$AI$6&lt;=$B$3)*(E21:AI21)),"")</f>
        <v/>
      </c>
    </row>
    <row r="22">
      <c r="A22" s="19">
        <f>Setup!D24</f>
        <v/>
      </c>
      <c r="B22" s="20">
        <f>Setup!A24</f>
        <v/>
      </c>
      <c r="C22" s="19">
        <f>Setup!B24</f>
        <v/>
      </c>
      <c r="D22" s="19">
        <f>Setup!E24</f>
        <v/>
      </c>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c r="Y22" s="21" t="inlineStr"/>
      <c r="Z22" s="21" t="inlineStr"/>
      <c r="AA22" s="21" t="inlineStr"/>
      <c r="AB22" s="21" t="inlineStr"/>
      <c r="AC22" s="21" t="inlineStr"/>
      <c r="AD22" s="21" t="inlineStr"/>
      <c r="AE22" s="21" t="inlineStr"/>
      <c r="AF22" s="21" t="inlineStr"/>
      <c r="AG22" s="21" t="inlineStr"/>
      <c r="AH22" s="21" t="inlineStr"/>
      <c r="AI22" s="21" t="inlineStr"/>
      <c r="AJ22" s="22">
        <f>IF($A22=1,SUMPRODUCT(($E$6:$AI$6&lt;=$B$3)*(E22:AI22)),"")</f>
        <v/>
      </c>
    </row>
    <row r="23">
      <c r="A23" s="19">
        <f>Setup!D25</f>
        <v/>
      </c>
      <c r="B23" s="20">
        <f>Setup!A25</f>
        <v/>
      </c>
      <c r="C23" s="19">
        <f>Setup!B25</f>
        <v/>
      </c>
      <c r="D23" s="19">
        <f>Setup!E25</f>
        <v/>
      </c>
      <c r="E23" s="21" t="inlineStr"/>
      <c r="F23" s="21" t="inlineStr"/>
      <c r="G23" s="21" t="inlineStr"/>
      <c r="H23" s="21" t="inlineStr"/>
      <c r="I23" s="21" t="inlineStr"/>
      <c r="J23" s="21" t="inlineStr"/>
      <c r="K23" s="21" t="inlineStr"/>
      <c r="L23" s="21" t="inlineStr"/>
      <c r="M23" s="21" t="inlineStr"/>
      <c r="N23" s="21" t="inlineStr"/>
      <c r="O23" s="21" t="inlineStr"/>
      <c r="P23" s="21" t="inlineStr"/>
      <c r="Q23" s="21" t="inlineStr"/>
      <c r="R23" s="21" t="inlineStr"/>
      <c r="S23" s="21" t="inlineStr"/>
      <c r="T23" s="21" t="inlineStr"/>
      <c r="U23" s="21" t="inlineStr"/>
      <c r="V23" s="21" t="inlineStr"/>
      <c r="W23" s="21" t="inlineStr"/>
      <c r="X23" s="21" t="inlineStr"/>
      <c r="Y23" s="21" t="inlineStr"/>
      <c r="Z23" s="21" t="inlineStr"/>
      <c r="AA23" s="21" t="inlineStr"/>
      <c r="AB23" s="21" t="inlineStr"/>
      <c r="AC23" s="21" t="inlineStr"/>
      <c r="AD23" s="21" t="inlineStr"/>
      <c r="AE23" s="21" t="inlineStr"/>
      <c r="AF23" s="21" t="inlineStr"/>
      <c r="AG23" s="21" t="inlineStr"/>
      <c r="AH23" s="21" t="inlineStr"/>
      <c r="AI23" s="21" t="inlineStr"/>
      <c r="AJ23" s="22">
        <f>IF($A23=1,SUMPRODUCT(($E$6:$AI$6&lt;=$B$3)*(E23:AI23)),"")</f>
        <v/>
      </c>
    </row>
    <row r="24">
      <c r="A24" s="19">
        <f>Setup!D26</f>
        <v/>
      </c>
      <c r="B24" s="20">
        <f>Setup!A26</f>
        <v/>
      </c>
      <c r="C24" s="19">
        <f>Setup!B26</f>
        <v/>
      </c>
      <c r="D24" s="19">
        <f>Setup!E26</f>
        <v/>
      </c>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c r="Y24" s="21" t="inlineStr"/>
      <c r="Z24" s="21" t="inlineStr"/>
      <c r="AA24" s="21" t="inlineStr"/>
      <c r="AB24" s="21" t="inlineStr"/>
      <c r="AC24" s="21" t="inlineStr"/>
      <c r="AD24" s="21" t="inlineStr"/>
      <c r="AE24" s="21" t="inlineStr"/>
      <c r="AF24" s="21" t="inlineStr"/>
      <c r="AG24" s="21" t="inlineStr"/>
      <c r="AH24" s="21" t="inlineStr"/>
      <c r="AI24" s="21" t="inlineStr"/>
      <c r="AJ24" s="22">
        <f>IF($A24=1,SUMPRODUCT(($E$6:$AI$6&lt;=$B$3)*(E24:AI24)),"")</f>
        <v/>
      </c>
    </row>
    <row r="25">
      <c r="A25" s="19">
        <f>Setup!D27</f>
        <v/>
      </c>
      <c r="B25" s="20">
        <f>Setup!A27</f>
        <v/>
      </c>
      <c r="C25" s="19">
        <f>Setup!B27</f>
        <v/>
      </c>
      <c r="D25" s="19">
        <f>Setup!E27</f>
        <v/>
      </c>
      <c r="E25" s="21" t="inlineStr"/>
      <c r="F25" s="21" t="inlineStr"/>
      <c r="G25" s="21" t="inlineStr"/>
      <c r="H25" s="21" t="inlineStr"/>
      <c r="I25" s="21" t="inlineStr"/>
      <c r="J25" s="21" t="inlineStr"/>
      <c r="K25" s="21" t="inlineStr"/>
      <c r="L25" s="21" t="inlineStr"/>
      <c r="M25" s="21" t="inlineStr"/>
      <c r="N25" s="21" t="inlineStr"/>
      <c r="O25" s="21" t="inlineStr"/>
      <c r="P25" s="21" t="inlineStr"/>
      <c r="Q25" s="21" t="inlineStr"/>
      <c r="R25" s="21" t="inlineStr"/>
      <c r="S25" s="21" t="inlineStr"/>
      <c r="T25" s="21" t="inlineStr"/>
      <c r="U25" s="21" t="inlineStr"/>
      <c r="V25" s="21" t="inlineStr"/>
      <c r="W25" s="21" t="inlineStr"/>
      <c r="X25" s="21" t="inlineStr"/>
      <c r="Y25" s="21" t="inlineStr"/>
      <c r="Z25" s="21" t="inlineStr"/>
      <c r="AA25" s="21" t="inlineStr"/>
      <c r="AB25" s="21" t="inlineStr"/>
      <c r="AC25" s="21" t="inlineStr"/>
      <c r="AD25" s="21" t="inlineStr"/>
      <c r="AE25" s="21" t="inlineStr"/>
      <c r="AF25" s="21" t="inlineStr"/>
      <c r="AG25" s="21" t="inlineStr"/>
      <c r="AH25" s="21" t="inlineStr"/>
      <c r="AI25" s="21" t="inlineStr"/>
      <c r="AJ25" s="22">
        <f>IF($A25=1,SUMPRODUCT(($E$6:$AI$6&lt;=$B$3)*(E25:AI25)),"")</f>
        <v/>
      </c>
    </row>
    <row r="26">
      <c r="A26" s="19">
        <f>Setup!D28</f>
        <v/>
      </c>
      <c r="B26" s="20">
        <f>Setup!A28</f>
        <v/>
      </c>
      <c r="C26" s="19">
        <f>Setup!B28</f>
        <v/>
      </c>
      <c r="D26" s="19">
        <f>Setup!E28</f>
        <v/>
      </c>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2">
        <f>IF($A26=1,SUMPRODUCT(($E$6:$AI$6&lt;=$B$3)*(E26:AI26)),"")</f>
        <v/>
      </c>
    </row>
    <row r="29">
      <c r="A29" s="23" t="inlineStr">
        <is>
          <t>Daily summary</t>
        </is>
      </c>
    </row>
    <row r="30">
      <c r="A30" s="8" t="inlineStr">
        <is>
          <t>Good habits done</t>
        </is>
      </c>
      <c r="E30" s="19">
        <f>SUMPRODUCT(($A$7:$A$26=1)*($C$7:$C$26="Good")*(E7:E26))</f>
        <v/>
      </c>
      <c r="F30" s="19">
        <f>SUMPRODUCT(($A$7:$A$26=1)*($C$7:$C$26="Good")*(F7:F26))</f>
        <v/>
      </c>
      <c r="G30" s="19">
        <f>SUMPRODUCT(($A$7:$A$26=1)*($C$7:$C$26="Good")*(G7:G26))</f>
        <v/>
      </c>
      <c r="H30" s="19">
        <f>SUMPRODUCT(($A$7:$A$26=1)*($C$7:$C$26="Good")*(H7:H26))</f>
        <v/>
      </c>
      <c r="I30" s="19">
        <f>SUMPRODUCT(($A$7:$A$26=1)*($C$7:$C$26="Good")*(I7:I26))</f>
        <v/>
      </c>
      <c r="J30" s="19">
        <f>SUMPRODUCT(($A$7:$A$26=1)*($C$7:$C$26="Good")*(J7:J26))</f>
        <v/>
      </c>
      <c r="K30" s="19">
        <f>SUMPRODUCT(($A$7:$A$26=1)*($C$7:$C$26="Good")*(K7:K26))</f>
        <v/>
      </c>
      <c r="L30" s="19">
        <f>SUMPRODUCT(($A$7:$A$26=1)*($C$7:$C$26="Good")*(L7:L26))</f>
        <v/>
      </c>
      <c r="M30" s="19">
        <f>SUMPRODUCT(($A$7:$A$26=1)*($C$7:$C$26="Good")*(M7:M26))</f>
        <v/>
      </c>
      <c r="N30" s="19">
        <f>SUMPRODUCT(($A$7:$A$26=1)*($C$7:$C$26="Good")*(N7:N26))</f>
        <v/>
      </c>
      <c r="O30" s="19">
        <f>SUMPRODUCT(($A$7:$A$26=1)*($C$7:$C$26="Good")*(O7:O26))</f>
        <v/>
      </c>
      <c r="P30" s="19">
        <f>SUMPRODUCT(($A$7:$A$26=1)*($C$7:$C$26="Good")*(P7:P26))</f>
        <v/>
      </c>
      <c r="Q30" s="19">
        <f>SUMPRODUCT(($A$7:$A$26=1)*($C$7:$C$26="Good")*(Q7:Q26))</f>
        <v/>
      </c>
      <c r="R30" s="19">
        <f>SUMPRODUCT(($A$7:$A$26=1)*($C$7:$C$26="Good")*(R7:R26))</f>
        <v/>
      </c>
      <c r="S30" s="19">
        <f>SUMPRODUCT(($A$7:$A$26=1)*($C$7:$C$26="Good")*(S7:S26))</f>
        <v/>
      </c>
      <c r="T30" s="19">
        <f>SUMPRODUCT(($A$7:$A$26=1)*($C$7:$C$26="Good")*(T7:T26))</f>
        <v/>
      </c>
      <c r="U30" s="19">
        <f>SUMPRODUCT(($A$7:$A$26=1)*($C$7:$C$26="Good")*(U7:U26))</f>
        <v/>
      </c>
      <c r="V30" s="19">
        <f>SUMPRODUCT(($A$7:$A$26=1)*($C$7:$C$26="Good")*(V7:V26))</f>
        <v/>
      </c>
      <c r="W30" s="19">
        <f>SUMPRODUCT(($A$7:$A$26=1)*($C$7:$C$26="Good")*(W7:W26))</f>
        <v/>
      </c>
      <c r="X30" s="19">
        <f>SUMPRODUCT(($A$7:$A$26=1)*($C$7:$C$26="Good")*(X7:X26))</f>
        <v/>
      </c>
      <c r="Y30" s="19">
        <f>SUMPRODUCT(($A$7:$A$26=1)*($C$7:$C$26="Good")*(Y7:Y26))</f>
        <v/>
      </c>
      <c r="Z30" s="19">
        <f>SUMPRODUCT(($A$7:$A$26=1)*($C$7:$C$26="Good")*(Z7:Z26))</f>
        <v/>
      </c>
      <c r="AA30" s="19">
        <f>SUMPRODUCT(($A$7:$A$26=1)*($C$7:$C$26="Good")*(AA7:AA26))</f>
        <v/>
      </c>
      <c r="AB30" s="19">
        <f>SUMPRODUCT(($A$7:$A$26=1)*($C$7:$C$26="Good")*(AB7:AB26))</f>
        <v/>
      </c>
      <c r="AC30" s="19">
        <f>SUMPRODUCT(($A$7:$A$26=1)*($C$7:$C$26="Good")*(AC7:AC26))</f>
        <v/>
      </c>
      <c r="AD30" s="19">
        <f>SUMPRODUCT(($A$7:$A$26=1)*($C$7:$C$26="Good")*(AD7:AD26))</f>
        <v/>
      </c>
      <c r="AE30" s="19">
        <f>SUMPRODUCT(($A$7:$A$26=1)*($C$7:$C$26="Good")*(AE7:AE26))</f>
        <v/>
      </c>
      <c r="AF30" s="19">
        <f>SUMPRODUCT(($A$7:$A$26=1)*($C$7:$C$26="Good")*(AF7:AF26))</f>
        <v/>
      </c>
      <c r="AG30" s="19">
        <f>SUMPRODUCT(($A$7:$A$26=1)*($C$7:$C$26="Good")*(AG7:AG26))</f>
        <v/>
      </c>
      <c r="AH30" s="19">
        <f>SUMPRODUCT(($A$7:$A$26=1)*($C$7:$C$26="Good")*(AH7:AH26))</f>
        <v/>
      </c>
      <c r="AI30" s="19">
        <f>SUMPRODUCT(($A$7:$A$26=1)*($C$7:$C$26="Good")*(AI7:AI26))</f>
        <v/>
      </c>
      <c r="AL30" s="24" t="inlineStr">
        <is>
          <t>Monthly totals</t>
        </is>
      </c>
    </row>
    <row r="31">
      <c r="A31" s="8" t="inlineStr">
        <is>
          <t>Bad habits happened</t>
        </is>
      </c>
      <c r="E31" s="19">
        <f>SUMPRODUCT(($A$7:$A$26=1)*($C$7:$C$26="Bad")*(E7:E26))</f>
        <v/>
      </c>
      <c r="F31" s="19">
        <f>SUMPRODUCT(($A$7:$A$26=1)*($C$7:$C$26="Bad")*(F7:F26))</f>
        <v/>
      </c>
      <c r="G31" s="19">
        <f>SUMPRODUCT(($A$7:$A$26=1)*($C$7:$C$26="Bad")*(G7:G26))</f>
        <v/>
      </c>
      <c r="H31" s="19">
        <f>SUMPRODUCT(($A$7:$A$26=1)*($C$7:$C$26="Bad")*(H7:H26))</f>
        <v/>
      </c>
      <c r="I31" s="19">
        <f>SUMPRODUCT(($A$7:$A$26=1)*($C$7:$C$26="Bad")*(I7:I26))</f>
        <v/>
      </c>
      <c r="J31" s="19">
        <f>SUMPRODUCT(($A$7:$A$26=1)*($C$7:$C$26="Bad")*(J7:J26))</f>
        <v/>
      </c>
      <c r="K31" s="19">
        <f>SUMPRODUCT(($A$7:$A$26=1)*($C$7:$C$26="Bad")*(K7:K26))</f>
        <v/>
      </c>
      <c r="L31" s="19">
        <f>SUMPRODUCT(($A$7:$A$26=1)*($C$7:$C$26="Bad")*(L7:L26))</f>
        <v/>
      </c>
      <c r="M31" s="19">
        <f>SUMPRODUCT(($A$7:$A$26=1)*($C$7:$C$26="Bad")*(M7:M26))</f>
        <v/>
      </c>
      <c r="N31" s="19">
        <f>SUMPRODUCT(($A$7:$A$26=1)*($C$7:$C$26="Bad")*(N7:N26))</f>
        <v/>
      </c>
      <c r="O31" s="19">
        <f>SUMPRODUCT(($A$7:$A$26=1)*($C$7:$C$26="Bad")*(O7:O26))</f>
        <v/>
      </c>
      <c r="P31" s="19">
        <f>SUMPRODUCT(($A$7:$A$26=1)*($C$7:$C$26="Bad")*(P7:P26))</f>
        <v/>
      </c>
      <c r="Q31" s="19">
        <f>SUMPRODUCT(($A$7:$A$26=1)*($C$7:$C$26="Bad")*(Q7:Q26))</f>
        <v/>
      </c>
      <c r="R31" s="19">
        <f>SUMPRODUCT(($A$7:$A$26=1)*($C$7:$C$26="Bad")*(R7:R26))</f>
        <v/>
      </c>
      <c r="S31" s="19">
        <f>SUMPRODUCT(($A$7:$A$26=1)*($C$7:$C$26="Bad")*(S7:S26))</f>
        <v/>
      </c>
      <c r="T31" s="19">
        <f>SUMPRODUCT(($A$7:$A$26=1)*($C$7:$C$26="Bad")*(T7:T26))</f>
        <v/>
      </c>
      <c r="U31" s="19">
        <f>SUMPRODUCT(($A$7:$A$26=1)*($C$7:$C$26="Bad")*(U7:U26))</f>
        <v/>
      </c>
      <c r="V31" s="19">
        <f>SUMPRODUCT(($A$7:$A$26=1)*($C$7:$C$26="Bad")*(V7:V26))</f>
        <v/>
      </c>
      <c r="W31" s="19">
        <f>SUMPRODUCT(($A$7:$A$26=1)*($C$7:$C$26="Bad")*(W7:W26))</f>
        <v/>
      </c>
      <c r="X31" s="19">
        <f>SUMPRODUCT(($A$7:$A$26=1)*($C$7:$C$26="Bad")*(X7:X26))</f>
        <v/>
      </c>
      <c r="Y31" s="19">
        <f>SUMPRODUCT(($A$7:$A$26=1)*($C$7:$C$26="Bad")*(Y7:Y26))</f>
        <v/>
      </c>
      <c r="Z31" s="19">
        <f>SUMPRODUCT(($A$7:$A$26=1)*($C$7:$C$26="Bad")*(Z7:Z26))</f>
        <v/>
      </c>
      <c r="AA31" s="19">
        <f>SUMPRODUCT(($A$7:$A$26=1)*($C$7:$C$26="Bad")*(AA7:AA26))</f>
        <v/>
      </c>
      <c r="AB31" s="19">
        <f>SUMPRODUCT(($A$7:$A$26=1)*($C$7:$C$26="Bad")*(AB7:AB26))</f>
        <v/>
      </c>
      <c r="AC31" s="19">
        <f>SUMPRODUCT(($A$7:$A$26=1)*($C$7:$C$26="Bad")*(AC7:AC26))</f>
        <v/>
      </c>
      <c r="AD31" s="19">
        <f>SUMPRODUCT(($A$7:$A$26=1)*($C$7:$C$26="Bad")*(AD7:AD26))</f>
        <v/>
      </c>
      <c r="AE31" s="19">
        <f>SUMPRODUCT(($A$7:$A$26=1)*($C$7:$C$26="Bad")*(AE7:AE26))</f>
        <v/>
      </c>
      <c r="AF31" s="19">
        <f>SUMPRODUCT(($A$7:$A$26=1)*($C$7:$C$26="Bad")*(AF7:AF26))</f>
        <v/>
      </c>
      <c r="AG31" s="19">
        <f>SUMPRODUCT(($A$7:$A$26=1)*($C$7:$C$26="Bad")*(AG7:AG26))</f>
        <v/>
      </c>
      <c r="AH31" s="19">
        <f>SUMPRODUCT(($A$7:$A$26=1)*($C$7:$C$26="Bad")*(AH7:AH26))</f>
        <v/>
      </c>
      <c r="AI31" s="19">
        <f>SUMPRODUCT(($A$7:$A$26=1)*($C$7:$C$26="Bad")*(AI7:AI26))</f>
        <v/>
      </c>
      <c r="AL31" s="10" t="inlineStr">
        <is>
          <t>Good done</t>
        </is>
      </c>
      <c r="AM31" s="25">
        <f>SUMPRODUCT(($E$6:$AI$6&lt;=$B$3)*(E30:AI30))</f>
        <v/>
      </c>
    </row>
    <row r="32">
      <c r="A32" s="8" t="inlineStr">
        <is>
          <t>Net score</t>
        </is>
      </c>
      <c r="E32" s="19">
        <f>SUMPRODUCT(($A$7:$A$26=1)*($D$7:$D$26)*(E7:E26))</f>
        <v/>
      </c>
      <c r="F32" s="19">
        <f>SUMPRODUCT(($A$7:$A$26=1)*($D$7:$D$26)*(F7:F26))</f>
        <v/>
      </c>
      <c r="G32" s="19">
        <f>SUMPRODUCT(($A$7:$A$26=1)*($D$7:$D$26)*(G7:G26))</f>
        <v/>
      </c>
      <c r="H32" s="19">
        <f>SUMPRODUCT(($A$7:$A$26=1)*($D$7:$D$26)*(H7:H26))</f>
        <v/>
      </c>
      <c r="I32" s="19">
        <f>SUMPRODUCT(($A$7:$A$26=1)*($D$7:$D$26)*(I7:I26))</f>
        <v/>
      </c>
      <c r="J32" s="19">
        <f>SUMPRODUCT(($A$7:$A$26=1)*($D$7:$D$26)*(J7:J26))</f>
        <v/>
      </c>
      <c r="K32" s="19">
        <f>SUMPRODUCT(($A$7:$A$26=1)*($D$7:$D$26)*(K7:K26))</f>
        <v/>
      </c>
      <c r="L32" s="19">
        <f>SUMPRODUCT(($A$7:$A$26=1)*($D$7:$D$26)*(L7:L26))</f>
        <v/>
      </c>
      <c r="M32" s="19">
        <f>SUMPRODUCT(($A$7:$A$26=1)*($D$7:$D$26)*(M7:M26))</f>
        <v/>
      </c>
      <c r="N32" s="19">
        <f>SUMPRODUCT(($A$7:$A$26=1)*($D$7:$D$26)*(N7:N26))</f>
        <v/>
      </c>
      <c r="O32" s="19">
        <f>SUMPRODUCT(($A$7:$A$26=1)*($D$7:$D$26)*(O7:O26))</f>
        <v/>
      </c>
      <c r="P32" s="19">
        <f>SUMPRODUCT(($A$7:$A$26=1)*($D$7:$D$26)*(P7:P26))</f>
        <v/>
      </c>
      <c r="Q32" s="19">
        <f>SUMPRODUCT(($A$7:$A$26=1)*($D$7:$D$26)*(Q7:Q26))</f>
        <v/>
      </c>
      <c r="R32" s="19">
        <f>SUMPRODUCT(($A$7:$A$26=1)*($D$7:$D$26)*(R7:R26))</f>
        <v/>
      </c>
      <c r="S32" s="19">
        <f>SUMPRODUCT(($A$7:$A$26=1)*($D$7:$D$26)*(S7:S26))</f>
        <v/>
      </c>
      <c r="T32" s="19">
        <f>SUMPRODUCT(($A$7:$A$26=1)*($D$7:$D$26)*(T7:T26))</f>
        <v/>
      </c>
      <c r="U32" s="19">
        <f>SUMPRODUCT(($A$7:$A$26=1)*($D$7:$D$26)*(U7:U26))</f>
        <v/>
      </c>
      <c r="V32" s="19">
        <f>SUMPRODUCT(($A$7:$A$26=1)*($D$7:$D$26)*(V7:V26))</f>
        <v/>
      </c>
      <c r="W32" s="19">
        <f>SUMPRODUCT(($A$7:$A$26=1)*($D$7:$D$26)*(W7:W26))</f>
        <v/>
      </c>
      <c r="X32" s="19">
        <f>SUMPRODUCT(($A$7:$A$26=1)*($D$7:$D$26)*(X7:X26))</f>
        <v/>
      </c>
      <c r="Y32" s="19">
        <f>SUMPRODUCT(($A$7:$A$26=1)*($D$7:$D$26)*(Y7:Y26))</f>
        <v/>
      </c>
      <c r="Z32" s="19">
        <f>SUMPRODUCT(($A$7:$A$26=1)*($D$7:$D$26)*(Z7:Z26))</f>
        <v/>
      </c>
      <c r="AA32" s="19">
        <f>SUMPRODUCT(($A$7:$A$26=1)*($D$7:$D$26)*(AA7:AA26))</f>
        <v/>
      </c>
      <c r="AB32" s="19">
        <f>SUMPRODUCT(($A$7:$A$26=1)*($D$7:$D$26)*(AB7:AB26))</f>
        <v/>
      </c>
      <c r="AC32" s="19">
        <f>SUMPRODUCT(($A$7:$A$26=1)*($D$7:$D$26)*(AC7:AC26))</f>
        <v/>
      </c>
      <c r="AD32" s="19">
        <f>SUMPRODUCT(($A$7:$A$26=1)*($D$7:$D$26)*(AD7:AD26))</f>
        <v/>
      </c>
      <c r="AE32" s="19">
        <f>SUMPRODUCT(($A$7:$A$26=1)*($D$7:$D$26)*(AE7:AE26))</f>
        <v/>
      </c>
      <c r="AF32" s="19">
        <f>SUMPRODUCT(($A$7:$A$26=1)*($D$7:$D$26)*(AF7:AF26))</f>
        <v/>
      </c>
      <c r="AG32" s="19">
        <f>SUMPRODUCT(($A$7:$A$26=1)*($D$7:$D$26)*(AG7:AG26))</f>
        <v/>
      </c>
      <c r="AH32" s="19">
        <f>SUMPRODUCT(($A$7:$A$26=1)*($D$7:$D$26)*(AH7:AH26))</f>
        <v/>
      </c>
      <c r="AI32" s="19">
        <f>SUMPRODUCT(($A$7:$A$26=1)*($D$7:$D$26)*(AI7:AI26))</f>
        <v/>
      </c>
      <c r="AL32" s="10" t="inlineStr">
        <is>
          <t>Bad happened</t>
        </is>
      </c>
      <c r="AM32" s="25">
        <f>SUMPRODUCT(($E$6:$AI$6&lt;=$B$3)*(E31:AI31))</f>
        <v/>
      </c>
    </row>
    <row r="33">
      <c r="A33" s="8" t="inlineStr">
        <is>
          <t>Completion % (Good only)</t>
        </is>
      </c>
      <c r="E33" s="26">
        <f>IF(SUMPRODUCT(($A$7:$A$26=1)*($C$7:$C$26="Good"))=0,"",SUMPRODUCT(($A$7:$A$26=1)*($C$7:$C$26="Good")*(E7:E26))/SUMPRODUCT(($A$7:$A$26=1)*($C$7:$C$26="Good")))</f>
        <v/>
      </c>
      <c r="F33" s="26">
        <f>IF(SUMPRODUCT(($A$7:$A$26=1)*($C$7:$C$26="Good"))=0,"",SUMPRODUCT(($A$7:$A$26=1)*($C$7:$C$26="Good")*(F7:F26))/SUMPRODUCT(($A$7:$A$26=1)*($C$7:$C$26="Good")))</f>
        <v/>
      </c>
      <c r="G33" s="26">
        <f>IF(SUMPRODUCT(($A$7:$A$26=1)*($C$7:$C$26="Good"))=0,"",SUMPRODUCT(($A$7:$A$26=1)*($C$7:$C$26="Good")*(G7:G26))/SUMPRODUCT(($A$7:$A$26=1)*($C$7:$C$26="Good")))</f>
        <v/>
      </c>
      <c r="H33" s="26">
        <f>IF(SUMPRODUCT(($A$7:$A$26=1)*($C$7:$C$26="Good"))=0,"",SUMPRODUCT(($A$7:$A$26=1)*($C$7:$C$26="Good")*(H7:H26))/SUMPRODUCT(($A$7:$A$26=1)*($C$7:$C$26="Good")))</f>
        <v/>
      </c>
      <c r="I33" s="26">
        <f>IF(SUMPRODUCT(($A$7:$A$26=1)*($C$7:$C$26="Good"))=0,"",SUMPRODUCT(($A$7:$A$26=1)*($C$7:$C$26="Good")*(I7:I26))/SUMPRODUCT(($A$7:$A$26=1)*($C$7:$C$26="Good")))</f>
        <v/>
      </c>
      <c r="J33" s="26">
        <f>IF(SUMPRODUCT(($A$7:$A$26=1)*($C$7:$C$26="Good"))=0,"",SUMPRODUCT(($A$7:$A$26=1)*($C$7:$C$26="Good")*(J7:J26))/SUMPRODUCT(($A$7:$A$26=1)*($C$7:$C$26="Good")))</f>
        <v/>
      </c>
      <c r="K33" s="26">
        <f>IF(SUMPRODUCT(($A$7:$A$26=1)*($C$7:$C$26="Good"))=0,"",SUMPRODUCT(($A$7:$A$26=1)*($C$7:$C$26="Good")*(K7:K26))/SUMPRODUCT(($A$7:$A$26=1)*($C$7:$C$26="Good")))</f>
        <v/>
      </c>
      <c r="L33" s="26">
        <f>IF(SUMPRODUCT(($A$7:$A$26=1)*($C$7:$C$26="Good"))=0,"",SUMPRODUCT(($A$7:$A$26=1)*($C$7:$C$26="Good")*(L7:L26))/SUMPRODUCT(($A$7:$A$26=1)*($C$7:$C$26="Good")))</f>
        <v/>
      </c>
      <c r="M33" s="26">
        <f>IF(SUMPRODUCT(($A$7:$A$26=1)*($C$7:$C$26="Good"))=0,"",SUMPRODUCT(($A$7:$A$26=1)*($C$7:$C$26="Good")*(M7:M26))/SUMPRODUCT(($A$7:$A$26=1)*($C$7:$C$26="Good")))</f>
        <v/>
      </c>
      <c r="N33" s="26">
        <f>IF(SUMPRODUCT(($A$7:$A$26=1)*($C$7:$C$26="Good"))=0,"",SUMPRODUCT(($A$7:$A$26=1)*($C$7:$C$26="Good")*(N7:N26))/SUMPRODUCT(($A$7:$A$26=1)*($C$7:$C$26="Good")))</f>
        <v/>
      </c>
      <c r="O33" s="26">
        <f>IF(SUMPRODUCT(($A$7:$A$26=1)*($C$7:$C$26="Good"))=0,"",SUMPRODUCT(($A$7:$A$26=1)*($C$7:$C$26="Good")*(O7:O26))/SUMPRODUCT(($A$7:$A$26=1)*($C$7:$C$26="Good")))</f>
        <v/>
      </c>
      <c r="P33" s="26">
        <f>IF(SUMPRODUCT(($A$7:$A$26=1)*($C$7:$C$26="Good"))=0,"",SUMPRODUCT(($A$7:$A$26=1)*($C$7:$C$26="Good")*(P7:P26))/SUMPRODUCT(($A$7:$A$26=1)*($C$7:$C$26="Good")))</f>
        <v/>
      </c>
      <c r="Q33" s="26">
        <f>IF(SUMPRODUCT(($A$7:$A$26=1)*($C$7:$C$26="Good"))=0,"",SUMPRODUCT(($A$7:$A$26=1)*($C$7:$C$26="Good")*(Q7:Q26))/SUMPRODUCT(($A$7:$A$26=1)*($C$7:$C$26="Good")))</f>
        <v/>
      </c>
      <c r="R33" s="26">
        <f>IF(SUMPRODUCT(($A$7:$A$26=1)*($C$7:$C$26="Good"))=0,"",SUMPRODUCT(($A$7:$A$26=1)*($C$7:$C$26="Good")*(R7:R26))/SUMPRODUCT(($A$7:$A$26=1)*($C$7:$C$26="Good")))</f>
        <v/>
      </c>
      <c r="S33" s="26">
        <f>IF(SUMPRODUCT(($A$7:$A$26=1)*($C$7:$C$26="Good"))=0,"",SUMPRODUCT(($A$7:$A$26=1)*($C$7:$C$26="Good")*(S7:S26))/SUMPRODUCT(($A$7:$A$26=1)*($C$7:$C$26="Good")))</f>
        <v/>
      </c>
      <c r="T33" s="26">
        <f>IF(SUMPRODUCT(($A$7:$A$26=1)*($C$7:$C$26="Good"))=0,"",SUMPRODUCT(($A$7:$A$26=1)*($C$7:$C$26="Good")*(T7:T26))/SUMPRODUCT(($A$7:$A$26=1)*($C$7:$C$26="Good")))</f>
        <v/>
      </c>
      <c r="U33" s="26">
        <f>IF(SUMPRODUCT(($A$7:$A$26=1)*($C$7:$C$26="Good"))=0,"",SUMPRODUCT(($A$7:$A$26=1)*($C$7:$C$26="Good")*(U7:U26))/SUMPRODUCT(($A$7:$A$26=1)*($C$7:$C$26="Good")))</f>
        <v/>
      </c>
      <c r="V33" s="26">
        <f>IF(SUMPRODUCT(($A$7:$A$26=1)*($C$7:$C$26="Good"))=0,"",SUMPRODUCT(($A$7:$A$26=1)*($C$7:$C$26="Good")*(V7:V26))/SUMPRODUCT(($A$7:$A$26=1)*($C$7:$C$26="Good")))</f>
        <v/>
      </c>
      <c r="W33" s="26">
        <f>IF(SUMPRODUCT(($A$7:$A$26=1)*($C$7:$C$26="Good"))=0,"",SUMPRODUCT(($A$7:$A$26=1)*($C$7:$C$26="Good")*(W7:W26))/SUMPRODUCT(($A$7:$A$26=1)*($C$7:$C$26="Good")))</f>
        <v/>
      </c>
      <c r="X33" s="26">
        <f>IF(SUMPRODUCT(($A$7:$A$26=1)*($C$7:$C$26="Good"))=0,"",SUMPRODUCT(($A$7:$A$26=1)*($C$7:$C$26="Good")*(X7:X26))/SUMPRODUCT(($A$7:$A$26=1)*($C$7:$C$26="Good")))</f>
        <v/>
      </c>
      <c r="Y33" s="26">
        <f>IF(SUMPRODUCT(($A$7:$A$26=1)*($C$7:$C$26="Good"))=0,"",SUMPRODUCT(($A$7:$A$26=1)*($C$7:$C$26="Good")*(Y7:Y26))/SUMPRODUCT(($A$7:$A$26=1)*($C$7:$C$26="Good")))</f>
        <v/>
      </c>
      <c r="Z33" s="26">
        <f>IF(SUMPRODUCT(($A$7:$A$26=1)*($C$7:$C$26="Good"))=0,"",SUMPRODUCT(($A$7:$A$26=1)*($C$7:$C$26="Good")*(Z7:Z26))/SUMPRODUCT(($A$7:$A$26=1)*($C$7:$C$26="Good")))</f>
        <v/>
      </c>
      <c r="AA33" s="26">
        <f>IF(SUMPRODUCT(($A$7:$A$26=1)*($C$7:$C$26="Good"))=0,"",SUMPRODUCT(($A$7:$A$26=1)*($C$7:$C$26="Good")*(AA7:AA26))/SUMPRODUCT(($A$7:$A$26=1)*($C$7:$C$26="Good")))</f>
        <v/>
      </c>
      <c r="AB33" s="26">
        <f>IF(SUMPRODUCT(($A$7:$A$26=1)*($C$7:$C$26="Good"))=0,"",SUMPRODUCT(($A$7:$A$26=1)*($C$7:$C$26="Good")*(AB7:AB26))/SUMPRODUCT(($A$7:$A$26=1)*($C$7:$C$26="Good")))</f>
        <v/>
      </c>
      <c r="AC33" s="26">
        <f>IF(SUMPRODUCT(($A$7:$A$26=1)*($C$7:$C$26="Good"))=0,"",SUMPRODUCT(($A$7:$A$26=1)*($C$7:$C$26="Good")*(AC7:AC26))/SUMPRODUCT(($A$7:$A$26=1)*($C$7:$C$26="Good")))</f>
        <v/>
      </c>
      <c r="AD33" s="26">
        <f>IF(SUMPRODUCT(($A$7:$A$26=1)*($C$7:$C$26="Good"))=0,"",SUMPRODUCT(($A$7:$A$26=1)*($C$7:$C$26="Good")*(AD7:AD26))/SUMPRODUCT(($A$7:$A$26=1)*($C$7:$C$26="Good")))</f>
        <v/>
      </c>
      <c r="AE33" s="26">
        <f>IF(SUMPRODUCT(($A$7:$A$26=1)*($C$7:$C$26="Good"))=0,"",SUMPRODUCT(($A$7:$A$26=1)*($C$7:$C$26="Good")*(AE7:AE26))/SUMPRODUCT(($A$7:$A$26=1)*($C$7:$C$26="Good")))</f>
        <v/>
      </c>
      <c r="AF33" s="26">
        <f>IF(SUMPRODUCT(($A$7:$A$26=1)*($C$7:$C$26="Good"))=0,"",SUMPRODUCT(($A$7:$A$26=1)*($C$7:$C$26="Good")*(AF7:AF26))/SUMPRODUCT(($A$7:$A$26=1)*($C$7:$C$26="Good")))</f>
        <v/>
      </c>
      <c r="AG33" s="26">
        <f>IF(SUMPRODUCT(($A$7:$A$26=1)*($C$7:$C$26="Good"))=0,"",SUMPRODUCT(($A$7:$A$26=1)*($C$7:$C$26="Good")*(AG7:AG26))/SUMPRODUCT(($A$7:$A$26=1)*($C$7:$C$26="Good")))</f>
        <v/>
      </c>
      <c r="AH33" s="26">
        <f>IF(SUMPRODUCT(($A$7:$A$26=1)*($C$7:$C$26="Good"))=0,"",SUMPRODUCT(($A$7:$A$26=1)*($C$7:$C$26="Good")*(AH7:AH26))/SUMPRODUCT(($A$7:$A$26=1)*($C$7:$C$26="Good")))</f>
        <v/>
      </c>
      <c r="AI33" s="26">
        <f>IF(SUMPRODUCT(($A$7:$A$26=1)*($C$7:$C$26="Good"))=0,"",SUMPRODUCT(($A$7:$A$26=1)*($C$7:$C$26="Good")*(AI7:AI26))/SUMPRODUCT(($A$7:$A$26=1)*($C$7:$C$26="Good")))</f>
        <v/>
      </c>
      <c r="AL33" s="10" t="inlineStr">
        <is>
          <t>Net score</t>
        </is>
      </c>
      <c r="AM33" s="25">
        <f>SUMPRODUCT(($E$6:$AI$6&lt;=$B$3)*(E32:AI32))</f>
        <v/>
      </c>
    </row>
    <row r="34">
      <c r="AL34" s="10" t="inlineStr">
        <is>
          <t>Avg completion (Good)</t>
        </is>
      </c>
      <c r="AM34" s="27">
        <f>AVERAGEIF($E$6:$AI$6,"&lt;="&amp;$B$3,E33:AI33)</f>
        <v/>
      </c>
    </row>
  </sheetData>
  <mergeCells count="6">
    <mergeCell ref="A31:D31"/>
    <mergeCell ref="A1:AI1"/>
    <mergeCell ref="A30:D30"/>
    <mergeCell ref="A29:D29"/>
    <mergeCell ref="A33:D33"/>
    <mergeCell ref="A32:D32"/>
  </mergeCells>
  <conditionalFormatting sqref="E7:AI26">
    <cfRule type="expression" priority="1" dxfId="0">
      <formula>E7=1</formula>
    </cfRule>
  </conditionalFormatting>
  <conditionalFormatting sqref="E5:E33">
    <cfRule type="expression" priority="2" dxfId="1">
      <formula>E$6&gt;$B$3</formula>
    </cfRule>
  </conditionalFormatting>
  <conditionalFormatting sqref="F5:F33">
    <cfRule type="expression" priority="3" dxfId="1">
      <formula>F$6&gt;$B$3</formula>
    </cfRule>
  </conditionalFormatting>
  <conditionalFormatting sqref="G5:G33">
    <cfRule type="expression" priority="4" dxfId="1">
      <formula>G$6&gt;$B$3</formula>
    </cfRule>
  </conditionalFormatting>
  <conditionalFormatting sqref="H5:H33">
    <cfRule type="expression" priority="5" dxfId="1">
      <formula>H$6&gt;$B$3</formula>
    </cfRule>
  </conditionalFormatting>
  <conditionalFormatting sqref="I5:I33">
    <cfRule type="expression" priority="6" dxfId="1">
      <formula>I$6&gt;$B$3</formula>
    </cfRule>
  </conditionalFormatting>
  <conditionalFormatting sqref="J5:J33">
    <cfRule type="expression" priority="7" dxfId="1">
      <formula>J$6&gt;$B$3</formula>
    </cfRule>
  </conditionalFormatting>
  <conditionalFormatting sqref="K5:K33">
    <cfRule type="expression" priority="8" dxfId="1">
      <formula>K$6&gt;$B$3</formula>
    </cfRule>
  </conditionalFormatting>
  <conditionalFormatting sqref="L5:L33">
    <cfRule type="expression" priority="9" dxfId="1">
      <formula>L$6&gt;$B$3</formula>
    </cfRule>
  </conditionalFormatting>
  <conditionalFormatting sqref="M5:M33">
    <cfRule type="expression" priority="10" dxfId="1">
      <formula>M$6&gt;$B$3</formula>
    </cfRule>
  </conditionalFormatting>
  <conditionalFormatting sqref="N5:N33">
    <cfRule type="expression" priority="11" dxfId="1">
      <formula>N$6&gt;$B$3</formula>
    </cfRule>
  </conditionalFormatting>
  <conditionalFormatting sqref="O5:O33">
    <cfRule type="expression" priority="12" dxfId="1">
      <formula>O$6&gt;$B$3</formula>
    </cfRule>
  </conditionalFormatting>
  <conditionalFormatting sqref="P5:P33">
    <cfRule type="expression" priority="13" dxfId="1">
      <formula>P$6&gt;$B$3</formula>
    </cfRule>
  </conditionalFormatting>
  <conditionalFormatting sqref="Q5:Q33">
    <cfRule type="expression" priority="14" dxfId="1">
      <formula>Q$6&gt;$B$3</formula>
    </cfRule>
  </conditionalFormatting>
  <conditionalFormatting sqref="R5:R33">
    <cfRule type="expression" priority="15" dxfId="1">
      <formula>R$6&gt;$B$3</formula>
    </cfRule>
  </conditionalFormatting>
  <conditionalFormatting sqref="S5:S33">
    <cfRule type="expression" priority="16" dxfId="1">
      <formula>S$6&gt;$B$3</formula>
    </cfRule>
  </conditionalFormatting>
  <conditionalFormatting sqref="T5:T33">
    <cfRule type="expression" priority="17" dxfId="1">
      <formula>T$6&gt;$B$3</formula>
    </cfRule>
  </conditionalFormatting>
  <conditionalFormatting sqref="U5:U33">
    <cfRule type="expression" priority="18" dxfId="1">
      <formula>U$6&gt;$B$3</formula>
    </cfRule>
  </conditionalFormatting>
  <conditionalFormatting sqref="V5:V33">
    <cfRule type="expression" priority="19" dxfId="1">
      <formula>V$6&gt;$B$3</formula>
    </cfRule>
  </conditionalFormatting>
  <conditionalFormatting sqref="W5:W33">
    <cfRule type="expression" priority="20" dxfId="1">
      <formula>W$6&gt;$B$3</formula>
    </cfRule>
  </conditionalFormatting>
  <conditionalFormatting sqref="X5:X33">
    <cfRule type="expression" priority="21" dxfId="1">
      <formula>X$6&gt;$B$3</formula>
    </cfRule>
  </conditionalFormatting>
  <conditionalFormatting sqref="Y5:Y33">
    <cfRule type="expression" priority="22" dxfId="1">
      <formula>Y$6&gt;$B$3</formula>
    </cfRule>
  </conditionalFormatting>
  <conditionalFormatting sqref="Z5:Z33">
    <cfRule type="expression" priority="23" dxfId="1">
      <formula>Z$6&gt;$B$3</formula>
    </cfRule>
  </conditionalFormatting>
  <conditionalFormatting sqref="AA5:AA33">
    <cfRule type="expression" priority="24" dxfId="1">
      <formula>AA$6&gt;$B$3</formula>
    </cfRule>
  </conditionalFormatting>
  <conditionalFormatting sqref="AB5:AB33">
    <cfRule type="expression" priority="25" dxfId="1">
      <formula>AB$6&gt;$B$3</formula>
    </cfRule>
  </conditionalFormatting>
  <conditionalFormatting sqref="AC5:AC33">
    <cfRule type="expression" priority="26" dxfId="1">
      <formula>AC$6&gt;$B$3</formula>
    </cfRule>
  </conditionalFormatting>
  <conditionalFormatting sqref="AD5:AD33">
    <cfRule type="expression" priority="27" dxfId="1">
      <formula>AD$6&gt;$B$3</formula>
    </cfRule>
  </conditionalFormatting>
  <conditionalFormatting sqref="AE5:AE33">
    <cfRule type="expression" priority="28" dxfId="1">
      <formula>AE$6&gt;$B$3</formula>
    </cfRule>
  </conditionalFormatting>
  <conditionalFormatting sqref="AF5:AF33">
    <cfRule type="expression" priority="29" dxfId="1">
      <formula>AF$6&gt;$B$3</formula>
    </cfRule>
  </conditionalFormatting>
  <conditionalFormatting sqref="AG5:AG33">
    <cfRule type="expression" priority="30" dxfId="1">
      <formula>AG$6&gt;$B$3</formula>
    </cfRule>
  </conditionalFormatting>
  <conditionalFormatting sqref="AH5:AH33">
    <cfRule type="expression" priority="31" dxfId="1">
      <formula>AH$6&gt;$B$3</formula>
    </cfRule>
  </conditionalFormatting>
  <conditionalFormatting sqref="AI5:AI33">
    <cfRule type="expression" priority="32" dxfId="1">
      <formula>AI$6&gt;$B$3</formula>
    </cfRule>
  </conditionalFormatting>
  <dataValidations count="1">
    <dataValidation sqref="E7 E8 E9 E10 E11 E12 E13 E14 E15 E16 E17 E18 E19 E20 E21 E22 E23 E24 E25 E26 F7 F8 F9 F10 F11 F12 F13 F14 F15 F16 F17 F18 F19 F20 F21 F22 F23 F24 F25 F26 G7 G8 G9 G10 G11 G12 G13 G14 G15 G16 G17 G18 G19 G20 G21 G22 G23 G24 G25 G26 H7 H8 H9 H10 H11 H12 H13 H14 H15 H16 H17 H18 H19 H20 H21 H22 H23 H24 H25 H26 I7 I8 I9 I10 I11 I12 I13 I14 I15 I16 I17 I18 I19 I20 I21 I22 I23 I24 I25 I26 J7 J8 J9 J10 J11 J12 J13 J14 J15 J16 J17 J18 J19 J20 J21 J22 J23 J24 J25 J26 K7 K8 K9 K10 K11 K12 K13 K14 K15 K16 K17 K18 K19 K20 K21 K22 K23 K24 K25 K26 L7 L8 L9 L10 L11 L12 L13 L14 L15 L16 L17 L18 L19 L20 L21 L22 L23 L24 L25 L26 M7 M8 M9 M10 M11 M12 M13 M14 M15 M16 M17 M18 M19 M20 M21 M22 M23 M24 M25 M26 N7 N8 N9 N10 N11 N12 N13 N14 N15 N16 N17 N18 N19 N20 N21 N22 N23 N24 N25 N26 O7 O8 O9 O10 O11 O12 O13 O14 O15 O16 O17 O18 O19 O20 O21 O22 O23 O24 O25 O26 P7 P8 P9 P10 P11 P12 P13 P14 P15 P16 P17 P18 P19 P20 P21 P22 P23 P24 P25 P26 Q7 Q8 Q9 Q10 Q11 Q12 Q13 Q14 Q15 Q16 Q17 Q18 Q19 Q20 Q21 Q22 Q23 Q24 Q25 Q26 R7 R8 R9 R10 R11 R12 R13 R14 R15 R16 R17 R18 R19 R20 R21 R22 R23 R24 R25 R26 S7 S8 S9 S10 S11 S12 S13 S14 S15 S16 S17 S18 S19 S20 S21 S22 S23 S24 S25 S26 T7 T8 T9 T10 T11 T12 T13 T14 T15 T16 T17 T18 T19 T20 T21 T22 T23 T24 T25 T26 U7 U8 U9 U10 U11 U12 U13 U14 U15 U16 U17 U18 U19 U20 U21 U22 U23 U24 U25 U26 V7 V8 V9 V10 V11 V12 V13 V14 V15 V16 V17 V18 V19 V20 V21 V22 V23 V24 V25 V26 W7 W8 W9 W10 W11 W12 W13 W14 W15 W16 W17 W18 W19 W20 W21 W22 W23 W24 W25 W26 X7 X8 X9 X10 X11 X12 X13 X14 X15 X16 X17 X18 X19 X20 X21 X22 X23 X24 X25 X26 Y7 Y8 Y9 Y10 Y11 Y12 Y13 Y14 Y15 Y16 Y17 Y18 Y19 Y20 Y21 Y22 Y23 Y24 Y25 Y26 Z7 Z8 Z9 Z10 Z11 Z12 Z13 Z14 Z15 Z16 Z17 Z18 Z19 Z20 Z21 Z22 Z23 Z24 Z25 Z26 AA7 AA8 AA9 AA10 AA11 AA12 AA13 AA14 AA15 AA16 AA17 AA18 AA19 AA20 AA21 AA22 AA23 AA24 AA25 AA26 AB7 AB8 AB9 AB10 AB11 AB12 AB13 AB14 AB15 AB16 AB17 AB18 AB19 AB20 AB21 AB22 AB23 AB24 AB25 AB26 AC7 AC8 AC9 AC10 AC11 AC12 AC13 AC14 AC15 AC16 AC17 AC18 AC19 AC20 AC21 AC22 AC23 AC24 AC25 AC26 AD7 AD8 AD9 AD10 AD11 AD12 AD13 AD14 AD15 AD16 AD17 AD18 AD19 AD20 AD21 AD22 AD23 AD24 AD25 AD26 AE7 AE8 AE9 AE10 AE11 AE12 AE13 AE14 AE15 AE16 AE17 AE18 AE19 AE20 AE21 AE22 AE23 AE24 AE25 AE26 AF7 AF8 AF9 AF10 AF11 AF12 AF13 AF14 AF15 AF16 AF17 AF18 AF19 AF20 AF21 AF22 AF23 AF24 AF25 AF26 AG7 AG8 AG9 AG10 AG11 AG12 AG13 AG14 AG15 AG16 AG17 AG18 AG19 AG20 AG21 AG22 AG23 AG24 AG25 AG26 AH7 AH8 AH9 AH10 AH11 AH12 AH13 AH14 AH15 AH16 AH17 AH18 AH19 AH20 AH21 AH22 AH23 AH24 AH25 AH26 AI7 AI8 AI9 AI10 AI11 AI12 AI13 AI14 AI15 AI16 AI17 AI18 AI19 AI20 AI21 AI22 AI23 AI24 AI25 AI26" showDropDown="0" showInputMessage="0" showErrorMessage="0" allowBlank="1" type="list">
      <formula1>"0,1"</formula1>
    </dataValidation>
  </dataValidation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M3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9"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7" customWidth="1" min="36" max="36"/>
    <col width="18" customWidth="1" min="38" max="38"/>
    <col width="12" customWidth="1" min="39" max="39"/>
  </cols>
  <sheetData>
    <row r="1">
      <c r="A1" s="15" t="inlineStr">
        <is>
          <t>Oct Habit Tracker</t>
        </is>
      </c>
    </row>
    <row r="2">
      <c r="A2" s="10" t="inlineStr">
        <is>
          <t>Year:</t>
        </is>
      </c>
      <c r="B2">
        <f>Setup!$B$3</f>
        <v/>
      </c>
      <c r="C2" s="10" t="inlineStr">
        <is>
          <t>Month:</t>
        </is>
      </c>
      <c r="D2" t="inlineStr">
        <is>
          <t>Oct</t>
        </is>
      </c>
    </row>
    <row r="3">
      <c r="A3" s="10" t="inlineStr">
        <is>
          <t>Days in month:</t>
        </is>
      </c>
      <c r="B3">
        <f>DAY(EOMONTH(DATE(Setup!$B$3,10,1),0))</f>
        <v/>
      </c>
    </row>
    <row r="5" ht="18" customHeight="1">
      <c r="E5" s="16">
        <f>TEXT(DATE(Setup!$B$3,10,1),"ddd")</f>
        <v/>
      </c>
      <c r="F5" s="16">
        <f>TEXT(DATE(Setup!$B$3,10,2),"ddd")</f>
        <v/>
      </c>
      <c r="G5" s="16">
        <f>TEXT(DATE(Setup!$B$3,10,3),"ddd")</f>
        <v/>
      </c>
      <c r="H5" s="16">
        <f>TEXT(DATE(Setup!$B$3,10,4),"ddd")</f>
        <v/>
      </c>
      <c r="I5" s="16">
        <f>TEXT(DATE(Setup!$B$3,10,5),"ddd")</f>
        <v/>
      </c>
      <c r="J5" s="16">
        <f>TEXT(DATE(Setup!$B$3,10,6),"ddd")</f>
        <v/>
      </c>
      <c r="K5" s="16">
        <f>TEXT(DATE(Setup!$B$3,10,7),"ddd")</f>
        <v/>
      </c>
      <c r="L5" s="16">
        <f>TEXT(DATE(Setup!$B$3,10,8),"ddd")</f>
        <v/>
      </c>
      <c r="M5" s="16">
        <f>TEXT(DATE(Setup!$B$3,10,9),"ddd")</f>
        <v/>
      </c>
      <c r="N5" s="16">
        <f>TEXT(DATE(Setup!$B$3,10,10),"ddd")</f>
        <v/>
      </c>
      <c r="O5" s="16">
        <f>TEXT(DATE(Setup!$B$3,10,11),"ddd")</f>
        <v/>
      </c>
      <c r="P5" s="16">
        <f>TEXT(DATE(Setup!$B$3,10,12),"ddd")</f>
        <v/>
      </c>
      <c r="Q5" s="16">
        <f>TEXT(DATE(Setup!$B$3,10,13),"ddd")</f>
        <v/>
      </c>
      <c r="R5" s="16">
        <f>TEXT(DATE(Setup!$B$3,10,14),"ddd")</f>
        <v/>
      </c>
      <c r="S5" s="16">
        <f>TEXT(DATE(Setup!$B$3,10,15),"ddd")</f>
        <v/>
      </c>
      <c r="T5" s="16">
        <f>TEXT(DATE(Setup!$B$3,10,16),"ddd")</f>
        <v/>
      </c>
      <c r="U5" s="16">
        <f>TEXT(DATE(Setup!$B$3,10,17),"ddd")</f>
        <v/>
      </c>
      <c r="V5" s="16">
        <f>TEXT(DATE(Setup!$B$3,10,18),"ddd")</f>
        <v/>
      </c>
      <c r="W5" s="16">
        <f>TEXT(DATE(Setup!$B$3,10,19),"ddd")</f>
        <v/>
      </c>
      <c r="X5" s="16">
        <f>TEXT(DATE(Setup!$B$3,10,20),"ddd")</f>
        <v/>
      </c>
      <c r="Y5" s="16">
        <f>TEXT(DATE(Setup!$B$3,10,21),"ddd")</f>
        <v/>
      </c>
      <c r="Z5" s="16">
        <f>TEXT(DATE(Setup!$B$3,10,22),"ddd")</f>
        <v/>
      </c>
      <c r="AA5" s="16">
        <f>TEXT(DATE(Setup!$B$3,10,23),"ddd")</f>
        <v/>
      </c>
      <c r="AB5" s="16">
        <f>TEXT(DATE(Setup!$B$3,10,24),"ddd")</f>
        <v/>
      </c>
      <c r="AC5" s="16">
        <f>TEXT(DATE(Setup!$B$3,10,25),"ddd")</f>
        <v/>
      </c>
      <c r="AD5" s="16">
        <f>TEXT(DATE(Setup!$B$3,10,26),"ddd")</f>
        <v/>
      </c>
      <c r="AE5" s="16">
        <f>TEXT(DATE(Setup!$B$3,10,27),"ddd")</f>
        <v/>
      </c>
      <c r="AF5" s="16">
        <f>TEXT(DATE(Setup!$B$3,10,28),"ddd")</f>
        <v/>
      </c>
      <c r="AG5" s="16">
        <f>TEXT(DATE(Setup!$B$3,10,29),"ddd")</f>
        <v/>
      </c>
      <c r="AH5" s="16">
        <f>TEXT(DATE(Setup!$B$3,10,30),"ddd")</f>
        <v/>
      </c>
      <c r="AI5" s="16">
        <f>TEXT(DATE(Setup!$B$3,10,31),"ddd")</f>
        <v/>
      </c>
    </row>
    <row r="6" ht="18" customHeight="1">
      <c r="A6" s="17" t="inlineStr">
        <is>
          <t>Active</t>
        </is>
      </c>
      <c r="B6" s="17" t="inlineStr">
        <is>
          <t>Habit</t>
        </is>
      </c>
      <c r="C6" s="17" t="inlineStr">
        <is>
          <t>Type</t>
        </is>
      </c>
      <c r="D6" s="17" t="inlineStr">
        <is>
          <t>Points</t>
        </is>
      </c>
      <c r="E6" s="18" t="n">
        <v>1</v>
      </c>
      <c r="F6" s="18" t="n">
        <v>2</v>
      </c>
      <c r="G6" s="18" t="n">
        <v>3</v>
      </c>
      <c r="H6" s="18" t="n">
        <v>4</v>
      </c>
      <c r="I6" s="18" t="n">
        <v>5</v>
      </c>
      <c r="J6" s="18" t="n">
        <v>6</v>
      </c>
      <c r="K6" s="18" t="n">
        <v>7</v>
      </c>
      <c r="L6" s="18" t="n">
        <v>8</v>
      </c>
      <c r="M6" s="18" t="n">
        <v>9</v>
      </c>
      <c r="N6" s="18" t="n">
        <v>10</v>
      </c>
      <c r="O6" s="18" t="n">
        <v>11</v>
      </c>
      <c r="P6" s="18" t="n">
        <v>12</v>
      </c>
      <c r="Q6" s="18" t="n">
        <v>13</v>
      </c>
      <c r="R6" s="18" t="n">
        <v>14</v>
      </c>
      <c r="S6" s="18" t="n">
        <v>15</v>
      </c>
      <c r="T6" s="18" t="n">
        <v>16</v>
      </c>
      <c r="U6" s="18" t="n">
        <v>17</v>
      </c>
      <c r="V6" s="18" t="n">
        <v>18</v>
      </c>
      <c r="W6" s="18" t="n">
        <v>19</v>
      </c>
      <c r="X6" s="18" t="n">
        <v>20</v>
      </c>
      <c r="Y6" s="18" t="n">
        <v>21</v>
      </c>
      <c r="Z6" s="18" t="n">
        <v>22</v>
      </c>
      <c r="AA6" s="18" t="n">
        <v>23</v>
      </c>
      <c r="AB6" s="18" t="n">
        <v>24</v>
      </c>
      <c r="AC6" s="18" t="n">
        <v>25</v>
      </c>
      <c r="AD6" s="18" t="n">
        <v>26</v>
      </c>
      <c r="AE6" s="18" t="n">
        <v>27</v>
      </c>
      <c r="AF6" s="18" t="n">
        <v>28</v>
      </c>
      <c r="AG6" s="18" t="n">
        <v>29</v>
      </c>
      <c r="AH6" s="18" t="n">
        <v>30</v>
      </c>
      <c r="AI6" s="18" t="n">
        <v>31</v>
      </c>
      <c r="AJ6" s="17" t="inlineStr">
        <is>
          <t>Total</t>
        </is>
      </c>
    </row>
    <row r="7">
      <c r="A7" s="19">
        <f>Setup!D9</f>
        <v/>
      </c>
      <c r="B7" s="20">
        <f>Setup!A9</f>
        <v/>
      </c>
      <c r="C7" s="19">
        <f>Setup!B9</f>
        <v/>
      </c>
      <c r="D7" s="19">
        <f>Setup!E9</f>
        <v/>
      </c>
      <c r="E7" s="21" t="inlineStr"/>
      <c r="F7" s="21" t="inlineStr"/>
      <c r="G7" s="21" t="inlineStr"/>
      <c r="H7" s="21" t="inlineStr"/>
      <c r="I7" s="21" t="inlineStr"/>
      <c r="J7" s="21" t="inlineStr"/>
      <c r="K7" s="21" t="inlineStr"/>
      <c r="L7" s="21" t="inlineStr"/>
      <c r="M7" s="21" t="inlineStr"/>
      <c r="N7" s="21" t="inlineStr"/>
      <c r="O7" s="21" t="inlineStr"/>
      <c r="P7" s="21" t="inlineStr"/>
      <c r="Q7" s="21" t="inlineStr"/>
      <c r="R7" s="21" t="inlineStr"/>
      <c r="S7" s="21" t="inlineStr"/>
      <c r="T7" s="21" t="inlineStr"/>
      <c r="U7" s="21" t="inlineStr"/>
      <c r="V7" s="21" t="inlineStr"/>
      <c r="W7" s="21" t="inlineStr"/>
      <c r="X7" s="21" t="inlineStr"/>
      <c r="Y7" s="21" t="inlineStr"/>
      <c r="Z7" s="21" t="inlineStr"/>
      <c r="AA7" s="21" t="inlineStr"/>
      <c r="AB7" s="21" t="inlineStr"/>
      <c r="AC7" s="21" t="inlineStr"/>
      <c r="AD7" s="21" t="inlineStr"/>
      <c r="AE7" s="21" t="inlineStr"/>
      <c r="AF7" s="21" t="inlineStr"/>
      <c r="AG7" s="21" t="inlineStr"/>
      <c r="AH7" s="21" t="inlineStr"/>
      <c r="AI7" s="21" t="inlineStr"/>
      <c r="AJ7" s="22">
        <f>IF($A7=1,SUMPRODUCT(($E$6:$AI$6&lt;=$B$3)*(E7:AI7)),"")</f>
        <v/>
      </c>
    </row>
    <row r="8">
      <c r="A8" s="19">
        <f>Setup!D10</f>
        <v/>
      </c>
      <c r="B8" s="20">
        <f>Setup!A10</f>
        <v/>
      </c>
      <c r="C8" s="19">
        <f>Setup!B10</f>
        <v/>
      </c>
      <c r="D8" s="19">
        <f>Setup!E10</f>
        <v/>
      </c>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2">
        <f>IF($A8=1,SUMPRODUCT(($E$6:$AI$6&lt;=$B$3)*(E8:AI8)),"")</f>
        <v/>
      </c>
    </row>
    <row r="9">
      <c r="A9" s="19">
        <f>Setup!D11</f>
        <v/>
      </c>
      <c r="B9" s="20">
        <f>Setup!A11</f>
        <v/>
      </c>
      <c r="C9" s="19">
        <f>Setup!B11</f>
        <v/>
      </c>
      <c r="D9" s="19">
        <f>Setup!E11</f>
        <v/>
      </c>
      <c r="E9" s="21" t="inlineStr"/>
      <c r="F9" s="21" t="inlineStr"/>
      <c r="G9" s="21" t="inlineStr"/>
      <c r="H9" s="21" t="inlineStr"/>
      <c r="I9" s="21" t="inlineStr"/>
      <c r="J9" s="21" t="inlineStr"/>
      <c r="K9" s="21" t="inlineStr"/>
      <c r="L9" s="21" t="inlineStr"/>
      <c r="M9" s="21" t="inlineStr"/>
      <c r="N9" s="21" t="inlineStr"/>
      <c r="O9" s="21" t="inlineStr"/>
      <c r="P9" s="21" t="inlineStr"/>
      <c r="Q9" s="21" t="inlineStr"/>
      <c r="R9" s="21" t="inlineStr"/>
      <c r="S9" s="21" t="inlineStr"/>
      <c r="T9" s="21" t="inlineStr"/>
      <c r="U9" s="21" t="inlineStr"/>
      <c r="V9" s="21" t="inlineStr"/>
      <c r="W9" s="21" t="inlineStr"/>
      <c r="X9" s="21" t="inlineStr"/>
      <c r="Y9" s="21" t="inlineStr"/>
      <c r="Z9" s="21" t="inlineStr"/>
      <c r="AA9" s="21" t="inlineStr"/>
      <c r="AB9" s="21" t="inlineStr"/>
      <c r="AC9" s="21" t="inlineStr"/>
      <c r="AD9" s="21" t="inlineStr"/>
      <c r="AE9" s="21" t="inlineStr"/>
      <c r="AF9" s="21" t="inlineStr"/>
      <c r="AG9" s="21" t="inlineStr"/>
      <c r="AH9" s="21" t="inlineStr"/>
      <c r="AI9" s="21" t="inlineStr"/>
      <c r="AJ9" s="22">
        <f>IF($A9=1,SUMPRODUCT(($E$6:$AI$6&lt;=$B$3)*(E9:AI9)),"")</f>
        <v/>
      </c>
    </row>
    <row r="10">
      <c r="A10" s="19">
        <f>Setup!D12</f>
        <v/>
      </c>
      <c r="B10" s="20">
        <f>Setup!A12</f>
        <v/>
      </c>
      <c r="C10" s="19">
        <f>Setup!B12</f>
        <v/>
      </c>
      <c r="D10" s="19">
        <f>Setup!E12</f>
        <v/>
      </c>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2">
        <f>IF($A10=1,SUMPRODUCT(($E$6:$AI$6&lt;=$B$3)*(E10:AI10)),"")</f>
        <v/>
      </c>
    </row>
    <row r="11">
      <c r="A11" s="19">
        <f>Setup!D13</f>
        <v/>
      </c>
      <c r="B11" s="20">
        <f>Setup!A13</f>
        <v/>
      </c>
      <c r="C11" s="19">
        <f>Setup!B13</f>
        <v/>
      </c>
      <c r="D11" s="19">
        <f>Setup!E13</f>
        <v/>
      </c>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c r="R11" s="21" t="inlineStr"/>
      <c r="S11" s="21" t="inlineStr"/>
      <c r="T11" s="21" t="inlineStr"/>
      <c r="U11" s="21" t="inlineStr"/>
      <c r="V11" s="21" t="inlineStr"/>
      <c r="W11" s="21" t="inlineStr"/>
      <c r="X11" s="21" t="inlineStr"/>
      <c r="Y11" s="21" t="inlineStr"/>
      <c r="Z11" s="21" t="inlineStr"/>
      <c r="AA11" s="21" t="inlineStr"/>
      <c r="AB11" s="21" t="inlineStr"/>
      <c r="AC11" s="21" t="inlineStr"/>
      <c r="AD11" s="21" t="inlineStr"/>
      <c r="AE11" s="21" t="inlineStr"/>
      <c r="AF11" s="21" t="inlineStr"/>
      <c r="AG11" s="21" t="inlineStr"/>
      <c r="AH11" s="21" t="inlineStr"/>
      <c r="AI11" s="21" t="inlineStr"/>
      <c r="AJ11" s="22">
        <f>IF($A11=1,SUMPRODUCT(($E$6:$AI$6&lt;=$B$3)*(E11:AI11)),"")</f>
        <v/>
      </c>
    </row>
    <row r="12">
      <c r="A12" s="19">
        <f>Setup!D14</f>
        <v/>
      </c>
      <c r="B12" s="20">
        <f>Setup!A14</f>
        <v/>
      </c>
      <c r="C12" s="19">
        <f>Setup!B14</f>
        <v/>
      </c>
      <c r="D12" s="19">
        <f>Setup!E14</f>
        <v/>
      </c>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2">
        <f>IF($A12=1,SUMPRODUCT(($E$6:$AI$6&lt;=$B$3)*(E12:AI12)),"")</f>
        <v/>
      </c>
    </row>
    <row r="13">
      <c r="A13" s="19">
        <f>Setup!D15</f>
        <v/>
      </c>
      <c r="B13" s="20">
        <f>Setup!A15</f>
        <v/>
      </c>
      <c r="C13" s="19">
        <f>Setup!B15</f>
        <v/>
      </c>
      <c r="D13" s="19">
        <f>Setup!E15</f>
        <v/>
      </c>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c r="U13" s="21" t="inlineStr"/>
      <c r="V13" s="21" t="inlineStr"/>
      <c r="W13" s="21" t="inlineStr"/>
      <c r="X13" s="21" t="inlineStr"/>
      <c r="Y13" s="21" t="inlineStr"/>
      <c r="Z13" s="21" t="inlineStr"/>
      <c r="AA13" s="21" t="inlineStr"/>
      <c r="AB13" s="21" t="inlineStr"/>
      <c r="AC13" s="21" t="inlineStr"/>
      <c r="AD13" s="21" t="inlineStr"/>
      <c r="AE13" s="21" t="inlineStr"/>
      <c r="AF13" s="21" t="inlineStr"/>
      <c r="AG13" s="21" t="inlineStr"/>
      <c r="AH13" s="21" t="inlineStr"/>
      <c r="AI13" s="21" t="inlineStr"/>
      <c r="AJ13" s="22">
        <f>IF($A13=1,SUMPRODUCT(($E$6:$AI$6&lt;=$B$3)*(E13:AI13)),"")</f>
        <v/>
      </c>
    </row>
    <row r="14">
      <c r="A14" s="19">
        <f>Setup!D16</f>
        <v/>
      </c>
      <c r="B14" s="20">
        <f>Setup!A16</f>
        <v/>
      </c>
      <c r="C14" s="19">
        <f>Setup!B16</f>
        <v/>
      </c>
      <c r="D14" s="19">
        <f>Setup!E16</f>
        <v/>
      </c>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2">
        <f>IF($A14=1,SUMPRODUCT(($E$6:$AI$6&lt;=$B$3)*(E14:AI14)),"")</f>
        <v/>
      </c>
    </row>
    <row r="15">
      <c r="A15" s="19">
        <f>Setup!D17</f>
        <v/>
      </c>
      <c r="B15" s="20">
        <f>Setup!A17</f>
        <v/>
      </c>
      <c r="C15" s="19">
        <f>Setup!B17</f>
        <v/>
      </c>
      <c r="D15" s="19">
        <f>Setup!E17</f>
        <v/>
      </c>
      <c r="E15" s="21" t="inlineStr"/>
      <c r="F15" s="21" t="inlineStr"/>
      <c r="G15" s="21" t="inlineStr"/>
      <c r="H15" s="21" t="inlineStr"/>
      <c r="I15" s="21" t="inlineStr"/>
      <c r="J15" s="21" t="inlineStr"/>
      <c r="K15" s="21" t="inlineStr"/>
      <c r="L15" s="21" t="inlineStr"/>
      <c r="M15" s="21" t="inlineStr"/>
      <c r="N15" s="21" t="inlineStr"/>
      <c r="O15" s="21" t="inlineStr"/>
      <c r="P15" s="21" t="inlineStr"/>
      <c r="Q15" s="21" t="inlineStr"/>
      <c r="R15" s="21" t="inlineStr"/>
      <c r="S15" s="21" t="inlineStr"/>
      <c r="T15" s="21" t="inlineStr"/>
      <c r="U15" s="21" t="inlineStr"/>
      <c r="V15" s="21" t="inlineStr"/>
      <c r="W15" s="21" t="inlineStr"/>
      <c r="X15" s="21" t="inlineStr"/>
      <c r="Y15" s="21" t="inlineStr"/>
      <c r="Z15" s="21" t="inlineStr"/>
      <c r="AA15" s="21" t="inlineStr"/>
      <c r="AB15" s="21" t="inlineStr"/>
      <c r="AC15" s="21" t="inlineStr"/>
      <c r="AD15" s="21" t="inlineStr"/>
      <c r="AE15" s="21" t="inlineStr"/>
      <c r="AF15" s="21" t="inlineStr"/>
      <c r="AG15" s="21" t="inlineStr"/>
      <c r="AH15" s="21" t="inlineStr"/>
      <c r="AI15" s="21" t="inlineStr"/>
      <c r="AJ15" s="22">
        <f>IF($A15=1,SUMPRODUCT(($E$6:$AI$6&lt;=$B$3)*(E15:AI15)),"")</f>
        <v/>
      </c>
    </row>
    <row r="16">
      <c r="A16" s="19">
        <f>Setup!D18</f>
        <v/>
      </c>
      <c r="B16" s="20">
        <f>Setup!A18</f>
        <v/>
      </c>
      <c r="C16" s="19">
        <f>Setup!B18</f>
        <v/>
      </c>
      <c r="D16" s="19">
        <f>Setup!E18</f>
        <v/>
      </c>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2">
        <f>IF($A16=1,SUMPRODUCT(($E$6:$AI$6&lt;=$B$3)*(E16:AI16)),"")</f>
        <v/>
      </c>
    </row>
    <row r="17">
      <c r="A17" s="19">
        <f>Setup!D19</f>
        <v/>
      </c>
      <c r="B17" s="20">
        <f>Setup!A19</f>
        <v/>
      </c>
      <c r="C17" s="19">
        <f>Setup!B19</f>
        <v/>
      </c>
      <c r="D17" s="19">
        <f>Setup!E19</f>
        <v/>
      </c>
      <c r="E17" s="21" t="inlineStr"/>
      <c r="F17" s="21" t="inlineStr"/>
      <c r="G17" s="21" t="inlineStr"/>
      <c r="H17" s="21" t="inlineStr"/>
      <c r="I17" s="21" t="inlineStr"/>
      <c r="J17" s="21" t="inlineStr"/>
      <c r="K17" s="21" t="inlineStr"/>
      <c r="L17" s="21" t="inlineStr"/>
      <c r="M17" s="21" t="inlineStr"/>
      <c r="N17" s="21" t="inlineStr"/>
      <c r="O17" s="21" t="inlineStr"/>
      <c r="P17" s="21" t="inlineStr"/>
      <c r="Q17" s="21" t="inlineStr"/>
      <c r="R17" s="21" t="inlineStr"/>
      <c r="S17" s="21" t="inlineStr"/>
      <c r="T17" s="21" t="inlineStr"/>
      <c r="U17" s="21" t="inlineStr"/>
      <c r="V17" s="21" t="inlineStr"/>
      <c r="W17" s="21" t="inlineStr"/>
      <c r="X17" s="21" t="inlineStr"/>
      <c r="Y17" s="21" t="inlineStr"/>
      <c r="Z17" s="21" t="inlineStr"/>
      <c r="AA17" s="21" t="inlineStr"/>
      <c r="AB17" s="21" t="inlineStr"/>
      <c r="AC17" s="21" t="inlineStr"/>
      <c r="AD17" s="21" t="inlineStr"/>
      <c r="AE17" s="21" t="inlineStr"/>
      <c r="AF17" s="21" t="inlineStr"/>
      <c r="AG17" s="21" t="inlineStr"/>
      <c r="AH17" s="21" t="inlineStr"/>
      <c r="AI17" s="21" t="inlineStr"/>
      <c r="AJ17" s="22">
        <f>IF($A17=1,SUMPRODUCT(($E$6:$AI$6&lt;=$B$3)*(E17:AI17)),"")</f>
        <v/>
      </c>
    </row>
    <row r="18">
      <c r="A18" s="19">
        <f>Setup!D20</f>
        <v/>
      </c>
      <c r="B18" s="20">
        <f>Setup!A20</f>
        <v/>
      </c>
      <c r="C18" s="19">
        <f>Setup!B20</f>
        <v/>
      </c>
      <c r="D18" s="19">
        <f>Setup!E20</f>
        <v/>
      </c>
      <c r="E18" s="21" t="inlineStr"/>
      <c r="F18" s="21" t="inlineStr"/>
      <c r="G18" s="21" t="inlineStr"/>
      <c r="H18" s="21" t="inlineStr"/>
      <c r="I18" s="21" t="inlineStr"/>
      <c r="J18" s="21" t="inlineStr"/>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2">
        <f>IF($A18=1,SUMPRODUCT(($E$6:$AI$6&lt;=$B$3)*(E18:AI18)),"")</f>
        <v/>
      </c>
    </row>
    <row r="19">
      <c r="A19" s="19">
        <f>Setup!D21</f>
        <v/>
      </c>
      <c r="B19" s="20">
        <f>Setup!A21</f>
        <v/>
      </c>
      <c r="C19" s="19">
        <f>Setup!B21</f>
        <v/>
      </c>
      <c r="D19" s="19">
        <f>Setup!E21</f>
        <v/>
      </c>
      <c r="E19" s="21" t="inlineStr"/>
      <c r="F19" s="21" t="inlineStr"/>
      <c r="G19" s="21" t="inlineStr"/>
      <c r="H19" s="21" t="inlineStr"/>
      <c r="I19" s="21" t="inlineStr"/>
      <c r="J19" s="21" t="inlineStr"/>
      <c r="K19" s="21" t="inlineStr"/>
      <c r="L19" s="21" t="inlineStr"/>
      <c r="M19" s="21" t="inlineStr"/>
      <c r="N19" s="21" t="inlineStr"/>
      <c r="O19" s="21" t="inlineStr"/>
      <c r="P19" s="21" t="inlineStr"/>
      <c r="Q19" s="21" t="inlineStr"/>
      <c r="R19" s="21" t="inlineStr"/>
      <c r="S19" s="21" t="inlineStr"/>
      <c r="T19" s="21" t="inlineStr"/>
      <c r="U19" s="21" t="inlineStr"/>
      <c r="V19" s="21" t="inlineStr"/>
      <c r="W19" s="21" t="inlineStr"/>
      <c r="X19" s="21" t="inlineStr"/>
      <c r="Y19" s="21" t="inlineStr"/>
      <c r="Z19" s="21" t="inlineStr"/>
      <c r="AA19" s="21" t="inlineStr"/>
      <c r="AB19" s="21" t="inlineStr"/>
      <c r="AC19" s="21" t="inlineStr"/>
      <c r="AD19" s="21" t="inlineStr"/>
      <c r="AE19" s="21" t="inlineStr"/>
      <c r="AF19" s="21" t="inlineStr"/>
      <c r="AG19" s="21" t="inlineStr"/>
      <c r="AH19" s="21" t="inlineStr"/>
      <c r="AI19" s="21" t="inlineStr"/>
      <c r="AJ19" s="22">
        <f>IF($A19=1,SUMPRODUCT(($E$6:$AI$6&lt;=$B$3)*(E19:AI19)),"")</f>
        <v/>
      </c>
    </row>
    <row r="20">
      <c r="A20" s="19">
        <f>Setup!D22</f>
        <v/>
      </c>
      <c r="B20" s="20">
        <f>Setup!A22</f>
        <v/>
      </c>
      <c r="C20" s="19">
        <f>Setup!B22</f>
        <v/>
      </c>
      <c r="D20" s="19">
        <f>Setup!E22</f>
        <v/>
      </c>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2">
        <f>IF($A20=1,SUMPRODUCT(($E$6:$AI$6&lt;=$B$3)*(E20:AI20)),"")</f>
        <v/>
      </c>
    </row>
    <row r="21">
      <c r="A21" s="19">
        <f>Setup!D23</f>
        <v/>
      </c>
      <c r="B21" s="20">
        <f>Setup!A23</f>
        <v/>
      </c>
      <c r="C21" s="19">
        <f>Setup!B23</f>
        <v/>
      </c>
      <c r="D21" s="19">
        <f>Setup!E23</f>
        <v/>
      </c>
      <c r="E21" s="21" t="inlineStr"/>
      <c r="F21" s="21" t="inlineStr"/>
      <c r="G21" s="21" t="inlineStr"/>
      <c r="H21" s="21" t="inlineStr"/>
      <c r="I21" s="21" t="inlineStr"/>
      <c r="J21" s="21" t="inlineStr"/>
      <c r="K21" s="21" t="inlineStr"/>
      <c r="L21" s="21" t="inlineStr"/>
      <c r="M21" s="21" t="inlineStr"/>
      <c r="N21" s="21" t="inlineStr"/>
      <c r="O21" s="21" t="inlineStr"/>
      <c r="P21" s="21" t="inlineStr"/>
      <c r="Q21" s="21" t="inlineStr"/>
      <c r="R21" s="21" t="inlineStr"/>
      <c r="S21" s="21" t="inlineStr"/>
      <c r="T21" s="21" t="inlineStr"/>
      <c r="U21" s="21" t="inlineStr"/>
      <c r="V21" s="21" t="inlineStr"/>
      <c r="W21" s="21" t="inlineStr"/>
      <c r="X21" s="21" t="inlineStr"/>
      <c r="Y21" s="21" t="inlineStr"/>
      <c r="Z21" s="21" t="inlineStr"/>
      <c r="AA21" s="21" t="inlineStr"/>
      <c r="AB21" s="21" t="inlineStr"/>
      <c r="AC21" s="21" t="inlineStr"/>
      <c r="AD21" s="21" t="inlineStr"/>
      <c r="AE21" s="21" t="inlineStr"/>
      <c r="AF21" s="21" t="inlineStr"/>
      <c r="AG21" s="21" t="inlineStr"/>
      <c r="AH21" s="21" t="inlineStr"/>
      <c r="AI21" s="21" t="inlineStr"/>
      <c r="AJ21" s="22">
        <f>IF($A21=1,SUMPRODUCT(($E$6:$AI$6&lt;=$B$3)*(E21:AI21)),"")</f>
        <v/>
      </c>
    </row>
    <row r="22">
      <c r="A22" s="19">
        <f>Setup!D24</f>
        <v/>
      </c>
      <c r="B22" s="20">
        <f>Setup!A24</f>
        <v/>
      </c>
      <c r="C22" s="19">
        <f>Setup!B24</f>
        <v/>
      </c>
      <c r="D22" s="19">
        <f>Setup!E24</f>
        <v/>
      </c>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c r="Y22" s="21" t="inlineStr"/>
      <c r="Z22" s="21" t="inlineStr"/>
      <c r="AA22" s="21" t="inlineStr"/>
      <c r="AB22" s="21" t="inlineStr"/>
      <c r="AC22" s="21" t="inlineStr"/>
      <c r="AD22" s="21" t="inlineStr"/>
      <c r="AE22" s="21" t="inlineStr"/>
      <c r="AF22" s="21" t="inlineStr"/>
      <c r="AG22" s="21" t="inlineStr"/>
      <c r="AH22" s="21" t="inlineStr"/>
      <c r="AI22" s="21" t="inlineStr"/>
      <c r="AJ22" s="22">
        <f>IF($A22=1,SUMPRODUCT(($E$6:$AI$6&lt;=$B$3)*(E22:AI22)),"")</f>
        <v/>
      </c>
    </row>
    <row r="23">
      <c r="A23" s="19">
        <f>Setup!D25</f>
        <v/>
      </c>
      <c r="B23" s="20">
        <f>Setup!A25</f>
        <v/>
      </c>
      <c r="C23" s="19">
        <f>Setup!B25</f>
        <v/>
      </c>
      <c r="D23" s="19">
        <f>Setup!E25</f>
        <v/>
      </c>
      <c r="E23" s="21" t="inlineStr"/>
      <c r="F23" s="21" t="inlineStr"/>
      <c r="G23" s="21" t="inlineStr"/>
      <c r="H23" s="21" t="inlineStr"/>
      <c r="I23" s="21" t="inlineStr"/>
      <c r="J23" s="21" t="inlineStr"/>
      <c r="K23" s="21" t="inlineStr"/>
      <c r="L23" s="21" t="inlineStr"/>
      <c r="M23" s="21" t="inlineStr"/>
      <c r="N23" s="21" t="inlineStr"/>
      <c r="O23" s="21" t="inlineStr"/>
      <c r="P23" s="21" t="inlineStr"/>
      <c r="Q23" s="21" t="inlineStr"/>
      <c r="R23" s="21" t="inlineStr"/>
      <c r="S23" s="21" t="inlineStr"/>
      <c r="T23" s="21" t="inlineStr"/>
      <c r="U23" s="21" t="inlineStr"/>
      <c r="V23" s="21" t="inlineStr"/>
      <c r="W23" s="21" t="inlineStr"/>
      <c r="X23" s="21" t="inlineStr"/>
      <c r="Y23" s="21" t="inlineStr"/>
      <c r="Z23" s="21" t="inlineStr"/>
      <c r="AA23" s="21" t="inlineStr"/>
      <c r="AB23" s="21" t="inlineStr"/>
      <c r="AC23" s="21" t="inlineStr"/>
      <c r="AD23" s="21" t="inlineStr"/>
      <c r="AE23" s="21" t="inlineStr"/>
      <c r="AF23" s="21" t="inlineStr"/>
      <c r="AG23" s="21" t="inlineStr"/>
      <c r="AH23" s="21" t="inlineStr"/>
      <c r="AI23" s="21" t="inlineStr"/>
      <c r="AJ23" s="22">
        <f>IF($A23=1,SUMPRODUCT(($E$6:$AI$6&lt;=$B$3)*(E23:AI23)),"")</f>
        <v/>
      </c>
    </row>
    <row r="24">
      <c r="A24" s="19">
        <f>Setup!D26</f>
        <v/>
      </c>
      <c r="B24" s="20">
        <f>Setup!A26</f>
        <v/>
      </c>
      <c r="C24" s="19">
        <f>Setup!B26</f>
        <v/>
      </c>
      <c r="D24" s="19">
        <f>Setup!E26</f>
        <v/>
      </c>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c r="Y24" s="21" t="inlineStr"/>
      <c r="Z24" s="21" t="inlineStr"/>
      <c r="AA24" s="21" t="inlineStr"/>
      <c r="AB24" s="21" t="inlineStr"/>
      <c r="AC24" s="21" t="inlineStr"/>
      <c r="AD24" s="21" t="inlineStr"/>
      <c r="AE24" s="21" t="inlineStr"/>
      <c r="AF24" s="21" t="inlineStr"/>
      <c r="AG24" s="21" t="inlineStr"/>
      <c r="AH24" s="21" t="inlineStr"/>
      <c r="AI24" s="21" t="inlineStr"/>
      <c r="AJ24" s="22">
        <f>IF($A24=1,SUMPRODUCT(($E$6:$AI$6&lt;=$B$3)*(E24:AI24)),"")</f>
        <v/>
      </c>
    </row>
    <row r="25">
      <c r="A25" s="19">
        <f>Setup!D27</f>
        <v/>
      </c>
      <c r="B25" s="20">
        <f>Setup!A27</f>
        <v/>
      </c>
      <c r="C25" s="19">
        <f>Setup!B27</f>
        <v/>
      </c>
      <c r="D25" s="19">
        <f>Setup!E27</f>
        <v/>
      </c>
      <c r="E25" s="21" t="inlineStr"/>
      <c r="F25" s="21" t="inlineStr"/>
      <c r="G25" s="21" t="inlineStr"/>
      <c r="H25" s="21" t="inlineStr"/>
      <c r="I25" s="21" t="inlineStr"/>
      <c r="J25" s="21" t="inlineStr"/>
      <c r="K25" s="21" t="inlineStr"/>
      <c r="L25" s="21" t="inlineStr"/>
      <c r="M25" s="21" t="inlineStr"/>
      <c r="N25" s="21" t="inlineStr"/>
      <c r="O25" s="21" t="inlineStr"/>
      <c r="P25" s="21" t="inlineStr"/>
      <c r="Q25" s="21" t="inlineStr"/>
      <c r="R25" s="21" t="inlineStr"/>
      <c r="S25" s="21" t="inlineStr"/>
      <c r="T25" s="21" t="inlineStr"/>
      <c r="U25" s="21" t="inlineStr"/>
      <c r="V25" s="21" t="inlineStr"/>
      <c r="W25" s="21" t="inlineStr"/>
      <c r="X25" s="21" t="inlineStr"/>
      <c r="Y25" s="21" t="inlineStr"/>
      <c r="Z25" s="21" t="inlineStr"/>
      <c r="AA25" s="21" t="inlineStr"/>
      <c r="AB25" s="21" t="inlineStr"/>
      <c r="AC25" s="21" t="inlineStr"/>
      <c r="AD25" s="21" t="inlineStr"/>
      <c r="AE25" s="21" t="inlineStr"/>
      <c r="AF25" s="21" t="inlineStr"/>
      <c r="AG25" s="21" t="inlineStr"/>
      <c r="AH25" s="21" t="inlineStr"/>
      <c r="AI25" s="21" t="inlineStr"/>
      <c r="AJ25" s="22">
        <f>IF($A25=1,SUMPRODUCT(($E$6:$AI$6&lt;=$B$3)*(E25:AI25)),"")</f>
        <v/>
      </c>
    </row>
    <row r="26">
      <c r="A26" s="19">
        <f>Setup!D28</f>
        <v/>
      </c>
      <c r="B26" s="20">
        <f>Setup!A28</f>
        <v/>
      </c>
      <c r="C26" s="19">
        <f>Setup!B28</f>
        <v/>
      </c>
      <c r="D26" s="19">
        <f>Setup!E28</f>
        <v/>
      </c>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2">
        <f>IF($A26=1,SUMPRODUCT(($E$6:$AI$6&lt;=$B$3)*(E26:AI26)),"")</f>
        <v/>
      </c>
    </row>
    <row r="29">
      <c r="A29" s="23" t="inlineStr">
        <is>
          <t>Daily summary</t>
        </is>
      </c>
    </row>
    <row r="30">
      <c r="A30" s="8" t="inlineStr">
        <is>
          <t>Good habits done</t>
        </is>
      </c>
      <c r="E30" s="19">
        <f>SUMPRODUCT(($A$7:$A$26=1)*($C$7:$C$26="Good")*(E7:E26))</f>
        <v/>
      </c>
      <c r="F30" s="19">
        <f>SUMPRODUCT(($A$7:$A$26=1)*($C$7:$C$26="Good")*(F7:F26))</f>
        <v/>
      </c>
      <c r="G30" s="19">
        <f>SUMPRODUCT(($A$7:$A$26=1)*($C$7:$C$26="Good")*(G7:G26))</f>
        <v/>
      </c>
      <c r="H30" s="19">
        <f>SUMPRODUCT(($A$7:$A$26=1)*($C$7:$C$26="Good")*(H7:H26))</f>
        <v/>
      </c>
      <c r="I30" s="19">
        <f>SUMPRODUCT(($A$7:$A$26=1)*($C$7:$C$26="Good")*(I7:I26))</f>
        <v/>
      </c>
      <c r="J30" s="19">
        <f>SUMPRODUCT(($A$7:$A$26=1)*($C$7:$C$26="Good")*(J7:J26))</f>
        <v/>
      </c>
      <c r="K30" s="19">
        <f>SUMPRODUCT(($A$7:$A$26=1)*($C$7:$C$26="Good")*(K7:K26))</f>
        <v/>
      </c>
      <c r="L30" s="19">
        <f>SUMPRODUCT(($A$7:$A$26=1)*($C$7:$C$26="Good")*(L7:L26))</f>
        <v/>
      </c>
      <c r="M30" s="19">
        <f>SUMPRODUCT(($A$7:$A$26=1)*($C$7:$C$26="Good")*(M7:M26))</f>
        <v/>
      </c>
      <c r="N30" s="19">
        <f>SUMPRODUCT(($A$7:$A$26=1)*($C$7:$C$26="Good")*(N7:N26))</f>
        <v/>
      </c>
      <c r="O30" s="19">
        <f>SUMPRODUCT(($A$7:$A$26=1)*($C$7:$C$26="Good")*(O7:O26))</f>
        <v/>
      </c>
      <c r="P30" s="19">
        <f>SUMPRODUCT(($A$7:$A$26=1)*($C$7:$C$26="Good")*(P7:P26))</f>
        <v/>
      </c>
      <c r="Q30" s="19">
        <f>SUMPRODUCT(($A$7:$A$26=1)*($C$7:$C$26="Good")*(Q7:Q26))</f>
        <v/>
      </c>
      <c r="R30" s="19">
        <f>SUMPRODUCT(($A$7:$A$26=1)*($C$7:$C$26="Good")*(R7:R26))</f>
        <v/>
      </c>
      <c r="S30" s="19">
        <f>SUMPRODUCT(($A$7:$A$26=1)*($C$7:$C$26="Good")*(S7:S26))</f>
        <v/>
      </c>
      <c r="T30" s="19">
        <f>SUMPRODUCT(($A$7:$A$26=1)*($C$7:$C$26="Good")*(T7:T26))</f>
        <v/>
      </c>
      <c r="U30" s="19">
        <f>SUMPRODUCT(($A$7:$A$26=1)*($C$7:$C$26="Good")*(U7:U26))</f>
        <v/>
      </c>
      <c r="V30" s="19">
        <f>SUMPRODUCT(($A$7:$A$26=1)*($C$7:$C$26="Good")*(V7:V26))</f>
        <v/>
      </c>
      <c r="W30" s="19">
        <f>SUMPRODUCT(($A$7:$A$26=1)*($C$7:$C$26="Good")*(W7:W26))</f>
        <v/>
      </c>
      <c r="X30" s="19">
        <f>SUMPRODUCT(($A$7:$A$26=1)*($C$7:$C$26="Good")*(X7:X26))</f>
        <v/>
      </c>
      <c r="Y30" s="19">
        <f>SUMPRODUCT(($A$7:$A$26=1)*($C$7:$C$26="Good")*(Y7:Y26))</f>
        <v/>
      </c>
      <c r="Z30" s="19">
        <f>SUMPRODUCT(($A$7:$A$26=1)*($C$7:$C$26="Good")*(Z7:Z26))</f>
        <v/>
      </c>
      <c r="AA30" s="19">
        <f>SUMPRODUCT(($A$7:$A$26=1)*($C$7:$C$26="Good")*(AA7:AA26))</f>
        <v/>
      </c>
      <c r="AB30" s="19">
        <f>SUMPRODUCT(($A$7:$A$26=1)*($C$7:$C$26="Good")*(AB7:AB26))</f>
        <v/>
      </c>
      <c r="AC30" s="19">
        <f>SUMPRODUCT(($A$7:$A$26=1)*($C$7:$C$26="Good")*(AC7:AC26))</f>
        <v/>
      </c>
      <c r="AD30" s="19">
        <f>SUMPRODUCT(($A$7:$A$26=1)*($C$7:$C$26="Good")*(AD7:AD26))</f>
        <v/>
      </c>
      <c r="AE30" s="19">
        <f>SUMPRODUCT(($A$7:$A$26=1)*($C$7:$C$26="Good")*(AE7:AE26))</f>
        <v/>
      </c>
      <c r="AF30" s="19">
        <f>SUMPRODUCT(($A$7:$A$26=1)*($C$7:$C$26="Good")*(AF7:AF26))</f>
        <v/>
      </c>
      <c r="AG30" s="19">
        <f>SUMPRODUCT(($A$7:$A$26=1)*($C$7:$C$26="Good")*(AG7:AG26))</f>
        <v/>
      </c>
      <c r="AH30" s="19">
        <f>SUMPRODUCT(($A$7:$A$26=1)*($C$7:$C$26="Good")*(AH7:AH26))</f>
        <v/>
      </c>
      <c r="AI30" s="19">
        <f>SUMPRODUCT(($A$7:$A$26=1)*($C$7:$C$26="Good")*(AI7:AI26))</f>
        <v/>
      </c>
      <c r="AL30" s="24" t="inlineStr">
        <is>
          <t>Monthly totals</t>
        </is>
      </c>
    </row>
    <row r="31">
      <c r="A31" s="8" t="inlineStr">
        <is>
          <t>Bad habits happened</t>
        </is>
      </c>
      <c r="E31" s="19">
        <f>SUMPRODUCT(($A$7:$A$26=1)*($C$7:$C$26="Bad")*(E7:E26))</f>
        <v/>
      </c>
      <c r="F31" s="19">
        <f>SUMPRODUCT(($A$7:$A$26=1)*($C$7:$C$26="Bad")*(F7:F26))</f>
        <v/>
      </c>
      <c r="G31" s="19">
        <f>SUMPRODUCT(($A$7:$A$26=1)*($C$7:$C$26="Bad")*(G7:G26))</f>
        <v/>
      </c>
      <c r="H31" s="19">
        <f>SUMPRODUCT(($A$7:$A$26=1)*($C$7:$C$26="Bad")*(H7:H26))</f>
        <v/>
      </c>
      <c r="I31" s="19">
        <f>SUMPRODUCT(($A$7:$A$26=1)*($C$7:$C$26="Bad")*(I7:I26))</f>
        <v/>
      </c>
      <c r="J31" s="19">
        <f>SUMPRODUCT(($A$7:$A$26=1)*($C$7:$C$26="Bad")*(J7:J26))</f>
        <v/>
      </c>
      <c r="K31" s="19">
        <f>SUMPRODUCT(($A$7:$A$26=1)*($C$7:$C$26="Bad")*(K7:K26))</f>
        <v/>
      </c>
      <c r="L31" s="19">
        <f>SUMPRODUCT(($A$7:$A$26=1)*($C$7:$C$26="Bad")*(L7:L26))</f>
        <v/>
      </c>
      <c r="M31" s="19">
        <f>SUMPRODUCT(($A$7:$A$26=1)*($C$7:$C$26="Bad")*(M7:M26))</f>
        <v/>
      </c>
      <c r="N31" s="19">
        <f>SUMPRODUCT(($A$7:$A$26=1)*($C$7:$C$26="Bad")*(N7:N26))</f>
        <v/>
      </c>
      <c r="O31" s="19">
        <f>SUMPRODUCT(($A$7:$A$26=1)*($C$7:$C$26="Bad")*(O7:O26))</f>
        <v/>
      </c>
      <c r="P31" s="19">
        <f>SUMPRODUCT(($A$7:$A$26=1)*($C$7:$C$26="Bad")*(P7:P26))</f>
        <v/>
      </c>
      <c r="Q31" s="19">
        <f>SUMPRODUCT(($A$7:$A$26=1)*($C$7:$C$26="Bad")*(Q7:Q26))</f>
        <v/>
      </c>
      <c r="R31" s="19">
        <f>SUMPRODUCT(($A$7:$A$26=1)*($C$7:$C$26="Bad")*(R7:R26))</f>
        <v/>
      </c>
      <c r="S31" s="19">
        <f>SUMPRODUCT(($A$7:$A$26=1)*($C$7:$C$26="Bad")*(S7:S26))</f>
        <v/>
      </c>
      <c r="T31" s="19">
        <f>SUMPRODUCT(($A$7:$A$26=1)*($C$7:$C$26="Bad")*(T7:T26))</f>
        <v/>
      </c>
      <c r="U31" s="19">
        <f>SUMPRODUCT(($A$7:$A$26=1)*($C$7:$C$26="Bad")*(U7:U26))</f>
        <v/>
      </c>
      <c r="V31" s="19">
        <f>SUMPRODUCT(($A$7:$A$26=1)*($C$7:$C$26="Bad")*(V7:V26))</f>
        <v/>
      </c>
      <c r="W31" s="19">
        <f>SUMPRODUCT(($A$7:$A$26=1)*($C$7:$C$26="Bad")*(W7:W26))</f>
        <v/>
      </c>
      <c r="X31" s="19">
        <f>SUMPRODUCT(($A$7:$A$26=1)*($C$7:$C$26="Bad")*(X7:X26))</f>
        <v/>
      </c>
      <c r="Y31" s="19">
        <f>SUMPRODUCT(($A$7:$A$26=1)*($C$7:$C$26="Bad")*(Y7:Y26))</f>
        <v/>
      </c>
      <c r="Z31" s="19">
        <f>SUMPRODUCT(($A$7:$A$26=1)*($C$7:$C$26="Bad")*(Z7:Z26))</f>
        <v/>
      </c>
      <c r="AA31" s="19">
        <f>SUMPRODUCT(($A$7:$A$26=1)*($C$7:$C$26="Bad")*(AA7:AA26))</f>
        <v/>
      </c>
      <c r="AB31" s="19">
        <f>SUMPRODUCT(($A$7:$A$26=1)*($C$7:$C$26="Bad")*(AB7:AB26))</f>
        <v/>
      </c>
      <c r="AC31" s="19">
        <f>SUMPRODUCT(($A$7:$A$26=1)*($C$7:$C$26="Bad")*(AC7:AC26))</f>
        <v/>
      </c>
      <c r="AD31" s="19">
        <f>SUMPRODUCT(($A$7:$A$26=1)*($C$7:$C$26="Bad")*(AD7:AD26))</f>
        <v/>
      </c>
      <c r="AE31" s="19">
        <f>SUMPRODUCT(($A$7:$A$26=1)*($C$7:$C$26="Bad")*(AE7:AE26))</f>
        <v/>
      </c>
      <c r="AF31" s="19">
        <f>SUMPRODUCT(($A$7:$A$26=1)*($C$7:$C$26="Bad")*(AF7:AF26))</f>
        <v/>
      </c>
      <c r="AG31" s="19">
        <f>SUMPRODUCT(($A$7:$A$26=1)*($C$7:$C$26="Bad")*(AG7:AG26))</f>
        <v/>
      </c>
      <c r="AH31" s="19">
        <f>SUMPRODUCT(($A$7:$A$26=1)*($C$7:$C$26="Bad")*(AH7:AH26))</f>
        <v/>
      </c>
      <c r="AI31" s="19">
        <f>SUMPRODUCT(($A$7:$A$26=1)*($C$7:$C$26="Bad")*(AI7:AI26))</f>
        <v/>
      </c>
      <c r="AL31" s="10" t="inlineStr">
        <is>
          <t>Good done</t>
        </is>
      </c>
      <c r="AM31" s="25">
        <f>SUMPRODUCT(($E$6:$AI$6&lt;=$B$3)*(E30:AI30))</f>
        <v/>
      </c>
    </row>
    <row r="32">
      <c r="A32" s="8" t="inlineStr">
        <is>
          <t>Net score</t>
        </is>
      </c>
      <c r="E32" s="19">
        <f>SUMPRODUCT(($A$7:$A$26=1)*($D$7:$D$26)*(E7:E26))</f>
        <v/>
      </c>
      <c r="F32" s="19">
        <f>SUMPRODUCT(($A$7:$A$26=1)*($D$7:$D$26)*(F7:F26))</f>
        <v/>
      </c>
      <c r="G32" s="19">
        <f>SUMPRODUCT(($A$7:$A$26=1)*($D$7:$D$26)*(G7:G26))</f>
        <v/>
      </c>
      <c r="H32" s="19">
        <f>SUMPRODUCT(($A$7:$A$26=1)*($D$7:$D$26)*(H7:H26))</f>
        <v/>
      </c>
      <c r="I32" s="19">
        <f>SUMPRODUCT(($A$7:$A$26=1)*($D$7:$D$26)*(I7:I26))</f>
        <v/>
      </c>
      <c r="J32" s="19">
        <f>SUMPRODUCT(($A$7:$A$26=1)*($D$7:$D$26)*(J7:J26))</f>
        <v/>
      </c>
      <c r="K32" s="19">
        <f>SUMPRODUCT(($A$7:$A$26=1)*($D$7:$D$26)*(K7:K26))</f>
        <v/>
      </c>
      <c r="L32" s="19">
        <f>SUMPRODUCT(($A$7:$A$26=1)*($D$7:$D$26)*(L7:L26))</f>
        <v/>
      </c>
      <c r="M32" s="19">
        <f>SUMPRODUCT(($A$7:$A$26=1)*($D$7:$D$26)*(M7:M26))</f>
        <v/>
      </c>
      <c r="N32" s="19">
        <f>SUMPRODUCT(($A$7:$A$26=1)*($D$7:$D$26)*(N7:N26))</f>
        <v/>
      </c>
      <c r="O32" s="19">
        <f>SUMPRODUCT(($A$7:$A$26=1)*($D$7:$D$26)*(O7:O26))</f>
        <v/>
      </c>
      <c r="P32" s="19">
        <f>SUMPRODUCT(($A$7:$A$26=1)*($D$7:$D$26)*(P7:P26))</f>
        <v/>
      </c>
      <c r="Q32" s="19">
        <f>SUMPRODUCT(($A$7:$A$26=1)*($D$7:$D$26)*(Q7:Q26))</f>
        <v/>
      </c>
      <c r="R32" s="19">
        <f>SUMPRODUCT(($A$7:$A$26=1)*($D$7:$D$26)*(R7:R26))</f>
        <v/>
      </c>
      <c r="S32" s="19">
        <f>SUMPRODUCT(($A$7:$A$26=1)*($D$7:$D$26)*(S7:S26))</f>
        <v/>
      </c>
      <c r="T32" s="19">
        <f>SUMPRODUCT(($A$7:$A$26=1)*($D$7:$D$26)*(T7:T26))</f>
        <v/>
      </c>
      <c r="U32" s="19">
        <f>SUMPRODUCT(($A$7:$A$26=1)*($D$7:$D$26)*(U7:U26))</f>
        <v/>
      </c>
      <c r="V32" s="19">
        <f>SUMPRODUCT(($A$7:$A$26=1)*($D$7:$D$26)*(V7:V26))</f>
        <v/>
      </c>
      <c r="W32" s="19">
        <f>SUMPRODUCT(($A$7:$A$26=1)*($D$7:$D$26)*(W7:W26))</f>
        <v/>
      </c>
      <c r="X32" s="19">
        <f>SUMPRODUCT(($A$7:$A$26=1)*($D$7:$D$26)*(X7:X26))</f>
        <v/>
      </c>
      <c r="Y32" s="19">
        <f>SUMPRODUCT(($A$7:$A$26=1)*($D$7:$D$26)*(Y7:Y26))</f>
        <v/>
      </c>
      <c r="Z32" s="19">
        <f>SUMPRODUCT(($A$7:$A$26=1)*($D$7:$D$26)*(Z7:Z26))</f>
        <v/>
      </c>
      <c r="AA32" s="19">
        <f>SUMPRODUCT(($A$7:$A$26=1)*($D$7:$D$26)*(AA7:AA26))</f>
        <v/>
      </c>
      <c r="AB32" s="19">
        <f>SUMPRODUCT(($A$7:$A$26=1)*($D$7:$D$26)*(AB7:AB26))</f>
        <v/>
      </c>
      <c r="AC32" s="19">
        <f>SUMPRODUCT(($A$7:$A$26=1)*($D$7:$D$26)*(AC7:AC26))</f>
        <v/>
      </c>
      <c r="AD32" s="19">
        <f>SUMPRODUCT(($A$7:$A$26=1)*($D$7:$D$26)*(AD7:AD26))</f>
        <v/>
      </c>
      <c r="AE32" s="19">
        <f>SUMPRODUCT(($A$7:$A$26=1)*($D$7:$D$26)*(AE7:AE26))</f>
        <v/>
      </c>
      <c r="AF32" s="19">
        <f>SUMPRODUCT(($A$7:$A$26=1)*($D$7:$D$26)*(AF7:AF26))</f>
        <v/>
      </c>
      <c r="AG32" s="19">
        <f>SUMPRODUCT(($A$7:$A$26=1)*($D$7:$D$26)*(AG7:AG26))</f>
        <v/>
      </c>
      <c r="AH32" s="19">
        <f>SUMPRODUCT(($A$7:$A$26=1)*($D$7:$D$26)*(AH7:AH26))</f>
        <v/>
      </c>
      <c r="AI32" s="19">
        <f>SUMPRODUCT(($A$7:$A$26=1)*($D$7:$D$26)*(AI7:AI26))</f>
        <v/>
      </c>
      <c r="AL32" s="10" t="inlineStr">
        <is>
          <t>Bad happened</t>
        </is>
      </c>
      <c r="AM32" s="25">
        <f>SUMPRODUCT(($E$6:$AI$6&lt;=$B$3)*(E31:AI31))</f>
        <v/>
      </c>
    </row>
    <row r="33">
      <c r="A33" s="8" t="inlineStr">
        <is>
          <t>Completion % (Good only)</t>
        </is>
      </c>
      <c r="E33" s="26">
        <f>IF(SUMPRODUCT(($A$7:$A$26=1)*($C$7:$C$26="Good"))=0,"",SUMPRODUCT(($A$7:$A$26=1)*($C$7:$C$26="Good")*(E7:E26))/SUMPRODUCT(($A$7:$A$26=1)*($C$7:$C$26="Good")))</f>
        <v/>
      </c>
      <c r="F33" s="26">
        <f>IF(SUMPRODUCT(($A$7:$A$26=1)*($C$7:$C$26="Good"))=0,"",SUMPRODUCT(($A$7:$A$26=1)*($C$7:$C$26="Good")*(F7:F26))/SUMPRODUCT(($A$7:$A$26=1)*($C$7:$C$26="Good")))</f>
        <v/>
      </c>
      <c r="G33" s="26">
        <f>IF(SUMPRODUCT(($A$7:$A$26=1)*($C$7:$C$26="Good"))=0,"",SUMPRODUCT(($A$7:$A$26=1)*($C$7:$C$26="Good")*(G7:G26))/SUMPRODUCT(($A$7:$A$26=1)*($C$7:$C$26="Good")))</f>
        <v/>
      </c>
      <c r="H33" s="26">
        <f>IF(SUMPRODUCT(($A$7:$A$26=1)*($C$7:$C$26="Good"))=0,"",SUMPRODUCT(($A$7:$A$26=1)*($C$7:$C$26="Good")*(H7:H26))/SUMPRODUCT(($A$7:$A$26=1)*($C$7:$C$26="Good")))</f>
        <v/>
      </c>
      <c r="I33" s="26">
        <f>IF(SUMPRODUCT(($A$7:$A$26=1)*($C$7:$C$26="Good"))=0,"",SUMPRODUCT(($A$7:$A$26=1)*($C$7:$C$26="Good")*(I7:I26))/SUMPRODUCT(($A$7:$A$26=1)*($C$7:$C$26="Good")))</f>
        <v/>
      </c>
      <c r="J33" s="26">
        <f>IF(SUMPRODUCT(($A$7:$A$26=1)*($C$7:$C$26="Good"))=0,"",SUMPRODUCT(($A$7:$A$26=1)*($C$7:$C$26="Good")*(J7:J26))/SUMPRODUCT(($A$7:$A$26=1)*($C$7:$C$26="Good")))</f>
        <v/>
      </c>
      <c r="K33" s="26">
        <f>IF(SUMPRODUCT(($A$7:$A$26=1)*($C$7:$C$26="Good"))=0,"",SUMPRODUCT(($A$7:$A$26=1)*($C$7:$C$26="Good")*(K7:K26))/SUMPRODUCT(($A$7:$A$26=1)*($C$7:$C$26="Good")))</f>
        <v/>
      </c>
      <c r="L33" s="26">
        <f>IF(SUMPRODUCT(($A$7:$A$26=1)*($C$7:$C$26="Good"))=0,"",SUMPRODUCT(($A$7:$A$26=1)*($C$7:$C$26="Good")*(L7:L26))/SUMPRODUCT(($A$7:$A$26=1)*($C$7:$C$26="Good")))</f>
        <v/>
      </c>
      <c r="M33" s="26">
        <f>IF(SUMPRODUCT(($A$7:$A$26=1)*($C$7:$C$26="Good"))=0,"",SUMPRODUCT(($A$7:$A$26=1)*($C$7:$C$26="Good")*(M7:M26))/SUMPRODUCT(($A$7:$A$26=1)*($C$7:$C$26="Good")))</f>
        <v/>
      </c>
      <c r="N33" s="26">
        <f>IF(SUMPRODUCT(($A$7:$A$26=1)*($C$7:$C$26="Good"))=0,"",SUMPRODUCT(($A$7:$A$26=1)*($C$7:$C$26="Good")*(N7:N26))/SUMPRODUCT(($A$7:$A$26=1)*($C$7:$C$26="Good")))</f>
        <v/>
      </c>
      <c r="O33" s="26">
        <f>IF(SUMPRODUCT(($A$7:$A$26=1)*($C$7:$C$26="Good"))=0,"",SUMPRODUCT(($A$7:$A$26=1)*($C$7:$C$26="Good")*(O7:O26))/SUMPRODUCT(($A$7:$A$26=1)*($C$7:$C$26="Good")))</f>
        <v/>
      </c>
      <c r="P33" s="26">
        <f>IF(SUMPRODUCT(($A$7:$A$26=1)*($C$7:$C$26="Good"))=0,"",SUMPRODUCT(($A$7:$A$26=1)*($C$7:$C$26="Good")*(P7:P26))/SUMPRODUCT(($A$7:$A$26=1)*($C$7:$C$26="Good")))</f>
        <v/>
      </c>
      <c r="Q33" s="26">
        <f>IF(SUMPRODUCT(($A$7:$A$26=1)*($C$7:$C$26="Good"))=0,"",SUMPRODUCT(($A$7:$A$26=1)*($C$7:$C$26="Good")*(Q7:Q26))/SUMPRODUCT(($A$7:$A$26=1)*($C$7:$C$26="Good")))</f>
        <v/>
      </c>
      <c r="R33" s="26">
        <f>IF(SUMPRODUCT(($A$7:$A$26=1)*($C$7:$C$26="Good"))=0,"",SUMPRODUCT(($A$7:$A$26=1)*($C$7:$C$26="Good")*(R7:R26))/SUMPRODUCT(($A$7:$A$26=1)*($C$7:$C$26="Good")))</f>
        <v/>
      </c>
      <c r="S33" s="26">
        <f>IF(SUMPRODUCT(($A$7:$A$26=1)*($C$7:$C$26="Good"))=0,"",SUMPRODUCT(($A$7:$A$26=1)*($C$7:$C$26="Good")*(S7:S26))/SUMPRODUCT(($A$7:$A$26=1)*($C$7:$C$26="Good")))</f>
        <v/>
      </c>
      <c r="T33" s="26">
        <f>IF(SUMPRODUCT(($A$7:$A$26=1)*($C$7:$C$26="Good"))=0,"",SUMPRODUCT(($A$7:$A$26=1)*($C$7:$C$26="Good")*(T7:T26))/SUMPRODUCT(($A$7:$A$26=1)*($C$7:$C$26="Good")))</f>
        <v/>
      </c>
      <c r="U33" s="26">
        <f>IF(SUMPRODUCT(($A$7:$A$26=1)*($C$7:$C$26="Good"))=0,"",SUMPRODUCT(($A$7:$A$26=1)*($C$7:$C$26="Good")*(U7:U26))/SUMPRODUCT(($A$7:$A$26=1)*($C$7:$C$26="Good")))</f>
        <v/>
      </c>
      <c r="V33" s="26">
        <f>IF(SUMPRODUCT(($A$7:$A$26=1)*($C$7:$C$26="Good"))=0,"",SUMPRODUCT(($A$7:$A$26=1)*($C$7:$C$26="Good")*(V7:V26))/SUMPRODUCT(($A$7:$A$26=1)*($C$7:$C$26="Good")))</f>
        <v/>
      </c>
      <c r="W33" s="26">
        <f>IF(SUMPRODUCT(($A$7:$A$26=1)*($C$7:$C$26="Good"))=0,"",SUMPRODUCT(($A$7:$A$26=1)*($C$7:$C$26="Good")*(W7:W26))/SUMPRODUCT(($A$7:$A$26=1)*($C$7:$C$26="Good")))</f>
        <v/>
      </c>
      <c r="X33" s="26">
        <f>IF(SUMPRODUCT(($A$7:$A$26=1)*($C$7:$C$26="Good"))=0,"",SUMPRODUCT(($A$7:$A$26=1)*($C$7:$C$26="Good")*(X7:X26))/SUMPRODUCT(($A$7:$A$26=1)*($C$7:$C$26="Good")))</f>
        <v/>
      </c>
      <c r="Y33" s="26">
        <f>IF(SUMPRODUCT(($A$7:$A$26=1)*($C$7:$C$26="Good"))=0,"",SUMPRODUCT(($A$7:$A$26=1)*($C$7:$C$26="Good")*(Y7:Y26))/SUMPRODUCT(($A$7:$A$26=1)*($C$7:$C$26="Good")))</f>
        <v/>
      </c>
      <c r="Z33" s="26">
        <f>IF(SUMPRODUCT(($A$7:$A$26=1)*($C$7:$C$26="Good"))=0,"",SUMPRODUCT(($A$7:$A$26=1)*($C$7:$C$26="Good")*(Z7:Z26))/SUMPRODUCT(($A$7:$A$26=1)*($C$7:$C$26="Good")))</f>
        <v/>
      </c>
      <c r="AA33" s="26">
        <f>IF(SUMPRODUCT(($A$7:$A$26=1)*($C$7:$C$26="Good"))=0,"",SUMPRODUCT(($A$7:$A$26=1)*($C$7:$C$26="Good")*(AA7:AA26))/SUMPRODUCT(($A$7:$A$26=1)*($C$7:$C$26="Good")))</f>
        <v/>
      </c>
      <c r="AB33" s="26">
        <f>IF(SUMPRODUCT(($A$7:$A$26=1)*($C$7:$C$26="Good"))=0,"",SUMPRODUCT(($A$7:$A$26=1)*($C$7:$C$26="Good")*(AB7:AB26))/SUMPRODUCT(($A$7:$A$26=1)*($C$7:$C$26="Good")))</f>
        <v/>
      </c>
      <c r="AC33" s="26">
        <f>IF(SUMPRODUCT(($A$7:$A$26=1)*($C$7:$C$26="Good"))=0,"",SUMPRODUCT(($A$7:$A$26=1)*($C$7:$C$26="Good")*(AC7:AC26))/SUMPRODUCT(($A$7:$A$26=1)*($C$7:$C$26="Good")))</f>
        <v/>
      </c>
      <c r="AD33" s="26">
        <f>IF(SUMPRODUCT(($A$7:$A$26=1)*($C$7:$C$26="Good"))=0,"",SUMPRODUCT(($A$7:$A$26=1)*($C$7:$C$26="Good")*(AD7:AD26))/SUMPRODUCT(($A$7:$A$26=1)*($C$7:$C$26="Good")))</f>
        <v/>
      </c>
      <c r="AE33" s="26">
        <f>IF(SUMPRODUCT(($A$7:$A$26=1)*($C$7:$C$26="Good"))=0,"",SUMPRODUCT(($A$7:$A$26=1)*($C$7:$C$26="Good")*(AE7:AE26))/SUMPRODUCT(($A$7:$A$26=1)*($C$7:$C$26="Good")))</f>
        <v/>
      </c>
      <c r="AF33" s="26">
        <f>IF(SUMPRODUCT(($A$7:$A$26=1)*($C$7:$C$26="Good"))=0,"",SUMPRODUCT(($A$7:$A$26=1)*($C$7:$C$26="Good")*(AF7:AF26))/SUMPRODUCT(($A$7:$A$26=1)*($C$7:$C$26="Good")))</f>
        <v/>
      </c>
      <c r="AG33" s="26">
        <f>IF(SUMPRODUCT(($A$7:$A$26=1)*($C$7:$C$26="Good"))=0,"",SUMPRODUCT(($A$7:$A$26=1)*($C$7:$C$26="Good")*(AG7:AG26))/SUMPRODUCT(($A$7:$A$26=1)*($C$7:$C$26="Good")))</f>
        <v/>
      </c>
      <c r="AH33" s="26">
        <f>IF(SUMPRODUCT(($A$7:$A$26=1)*($C$7:$C$26="Good"))=0,"",SUMPRODUCT(($A$7:$A$26=1)*($C$7:$C$26="Good")*(AH7:AH26))/SUMPRODUCT(($A$7:$A$26=1)*($C$7:$C$26="Good")))</f>
        <v/>
      </c>
      <c r="AI33" s="26">
        <f>IF(SUMPRODUCT(($A$7:$A$26=1)*($C$7:$C$26="Good"))=0,"",SUMPRODUCT(($A$7:$A$26=1)*($C$7:$C$26="Good")*(AI7:AI26))/SUMPRODUCT(($A$7:$A$26=1)*($C$7:$C$26="Good")))</f>
        <v/>
      </c>
      <c r="AL33" s="10" t="inlineStr">
        <is>
          <t>Net score</t>
        </is>
      </c>
      <c r="AM33" s="25">
        <f>SUMPRODUCT(($E$6:$AI$6&lt;=$B$3)*(E32:AI32))</f>
        <v/>
      </c>
    </row>
    <row r="34">
      <c r="AL34" s="10" t="inlineStr">
        <is>
          <t>Avg completion (Good)</t>
        </is>
      </c>
      <c r="AM34" s="27">
        <f>AVERAGEIF($E$6:$AI$6,"&lt;="&amp;$B$3,E33:AI33)</f>
        <v/>
      </c>
    </row>
  </sheetData>
  <mergeCells count="6">
    <mergeCell ref="A31:D31"/>
    <mergeCell ref="A1:AI1"/>
    <mergeCell ref="A30:D30"/>
    <mergeCell ref="A29:D29"/>
    <mergeCell ref="A33:D33"/>
    <mergeCell ref="A32:D32"/>
  </mergeCells>
  <conditionalFormatting sqref="E7:AI26">
    <cfRule type="expression" priority="1" dxfId="0">
      <formula>E7=1</formula>
    </cfRule>
  </conditionalFormatting>
  <conditionalFormatting sqref="E5:E33">
    <cfRule type="expression" priority="2" dxfId="1">
      <formula>E$6&gt;$B$3</formula>
    </cfRule>
  </conditionalFormatting>
  <conditionalFormatting sqref="F5:F33">
    <cfRule type="expression" priority="3" dxfId="1">
      <formula>F$6&gt;$B$3</formula>
    </cfRule>
  </conditionalFormatting>
  <conditionalFormatting sqref="G5:G33">
    <cfRule type="expression" priority="4" dxfId="1">
      <formula>G$6&gt;$B$3</formula>
    </cfRule>
  </conditionalFormatting>
  <conditionalFormatting sqref="H5:H33">
    <cfRule type="expression" priority="5" dxfId="1">
      <formula>H$6&gt;$B$3</formula>
    </cfRule>
  </conditionalFormatting>
  <conditionalFormatting sqref="I5:I33">
    <cfRule type="expression" priority="6" dxfId="1">
      <formula>I$6&gt;$B$3</formula>
    </cfRule>
  </conditionalFormatting>
  <conditionalFormatting sqref="J5:J33">
    <cfRule type="expression" priority="7" dxfId="1">
      <formula>J$6&gt;$B$3</formula>
    </cfRule>
  </conditionalFormatting>
  <conditionalFormatting sqref="K5:K33">
    <cfRule type="expression" priority="8" dxfId="1">
      <formula>K$6&gt;$B$3</formula>
    </cfRule>
  </conditionalFormatting>
  <conditionalFormatting sqref="L5:L33">
    <cfRule type="expression" priority="9" dxfId="1">
      <formula>L$6&gt;$B$3</formula>
    </cfRule>
  </conditionalFormatting>
  <conditionalFormatting sqref="M5:M33">
    <cfRule type="expression" priority="10" dxfId="1">
      <formula>M$6&gt;$B$3</formula>
    </cfRule>
  </conditionalFormatting>
  <conditionalFormatting sqref="N5:N33">
    <cfRule type="expression" priority="11" dxfId="1">
      <formula>N$6&gt;$B$3</formula>
    </cfRule>
  </conditionalFormatting>
  <conditionalFormatting sqref="O5:O33">
    <cfRule type="expression" priority="12" dxfId="1">
      <formula>O$6&gt;$B$3</formula>
    </cfRule>
  </conditionalFormatting>
  <conditionalFormatting sqref="P5:P33">
    <cfRule type="expression" priority="13" dxfId="1">
      <formula>P$6&gt;$B$3</formula>
    </cfRule>
  </conditionalFormatting>
  <conditionalFormatting sqref="Q5:Q33">
    <cfRule type="expression" priority="14" dxfId="1">
      <formula>Q$6&gt;$B$3</formula>
    </cfRule>
  </conditionalFormatting>
  <conditionalFormatting sqref="R5:R33">
    <cfRule type="expression" priority="15" dxfId="1">
      <formula>R$6&gt;$B$3</formula>
    </cfRule>
  </conditionalFormatting>
  <conditionalFormatting sqref="S5:S33">
    <cfRule type="expression" priority="16" dxfId="1">
      <formula>S$6&gt;$B$3</formula>
    </cfRule>
  </conditionalFormatting>
  <conditionalFormatting sqref="T5:T33">
    <cfRule type="expression" priority="17" dxfId="1">
      <formula>T$6&gt;$B$3</formula>
    </cfRule>
  </conditionalFormatting>
  <conditionalFormatting sqref="U5:U33">
    <cfRule type="expression" priority="18" dxfId="1">
      <formula>U$6&gt;$B$3</formula>
    </cfRule>
  </conditionalFormatting>
  <conditionalFormatting sqref="V5:V33">
    <cfRule type="expression" priority="19" dxfId="1">
      <formula>V$6&gt;$B$3</formula>
    </cfRule>
  </conditionalFormatting>
  <conditionalFormatting sqref="W5:W33">
    <cfRule type="expression" priority="20" dxfId="1">
      <formula>W$6&gt;$B$3</formula>
    </cfRule>
  </conditionalFormatting>
  <conditionalFormatting sqref="X5:X33">
    <cfRule type="expression" priority="21" dxfId="1">
      <formula>X$6&gt;$B$3</formula>
    </cfRule>
  </conditionalFormatting>
  <conditionalFormatting sqref="Y5:Y33">
    <cfRule type="expression" priority="22" dxfId="1">
      <formula>Y$6&gt;$B$3</formula>
    </cfRule>
  </conditionalFormatting>
  <conditionalFormatting sqref="Z5:Z33">
    <cfRule type="expression" priority="23" dxfId="1">
      <formula>Z$6&gt;$B$3</formula>
    </cfRule>
  </conditionalFormatting>
  <conditionalFormatting sqref="AA5:AA33">
    <cfRule type="expression" priority="24" dxfId="1">
      <formula>AA$6&gt;$B$3</formula>
    </cfRule>
  </conditionalFormatting>
  <conditionalFormatting sqref="AB5:AB33">
    <cfRule type="expression" priority="25" dxfId="1">
      <formula>AB$6&gt;$B$3</formula>
    </cfRule>
  </conditionalFormatting>
  <conditionalFormatting sqref="AC5:AC33">
    <cfRule type="expression" priority="26" dxfId="1">
      <formula>AC$6&gt;$B$3</formula>
    </cfRule>
  </conditionalFormatting>
  <conditionalFormatting sqref="AD5:AD33">
    <cfRule type="expression" priority="27" dxfId="1">
      <formula>AD$6&gt;$B$3</formula>
    </cfRule>
  </conditionalFormatting>
  <conditionalFormatting sqref="AE5:AE33">
    <cfRule type="expression" priority="28" dxfId="1">
      <formula>AE$6&gt;$B$3</formula>
    </cfRule>
  </conditionalFormatting>
  <conditionalFormatting sqref="AF5:AF33">
    <cfRule type="expression" priority="29" dxfId="1">
      <formula>AF$6&gt;$B$3</formula>
    </cfRule>
  </conditionalFormatting>
  <conditionalFormatting sqref="AG5:AG33">
    <cfRule type="expression" priority="30" dxfId="1">
      <formula>AG$6&gt;$B$3</formula>
    </cfRule>
  </conditionalFormatting>
  <conditionalFormatting sqref="AH5:AH33">
    <cfRule type="expression" priority="31" dxfId="1">
      <formula>AH$6&gt;$B$3</formula>
    </cfRule>
  </conditionalFormatting>
  <conditionalFormatting sqref="AI5:AI33">
    <cfRule type="expression" priority="32" dxfId="1">
      <formula>AI$6&gt;$B$3</formula>
    </cfRule>
  </conditionalFormatting>
  <dataValidations count="1">
    <dataValidation sqref="E7 E8 E9 E10 E11 E12 E13 E14 E15 E16 E17 E18 E19 E20 E21 E22 E23 E24 E25 E26 F7 F8 F9 F10 F11 F12 F13 F14 F15 F16 F17 F18 F19 F20 F21 F22 F23 F24 F25 F26 G7 G8 G9 G10 G11 G12 G13 G14 G15 G16 G17 G18 G19 G20 G21 G22 G23 G24 G25 G26 H7 H8 H9 H10 H11 H12 H13 H14 H15 H16 H17 H18 H19 H20 H21 H22 H23 H24 H25 H26 I7 I8 I9 I10 I11 I12 I13 I14 I15 I16 I17 I18 I19 I20 I21 I22 I23 I24 I25 I26 J7 J8 J9 J10 J11 J12 J13 J14 J15 J16 J17 J18 J19 J20 J21 J22 J23 J24 J25 J26 K7 K8 K9 K10 K11 K12 K13 K14 K15 K16 K17 K18 K19 K20 K21 K22 K23 K24 K25 K26 L7 L8 L9 L10 L11 L12 L13 L14 L15 L16 L17 L18 L19 L20 L21 L22 L23 L24 L25 L26 M7 M8 M9 M10 M11 M12 M13 M14 M15 M16 M17 M18 M19 M20 M21 M22 M23 M24 M25 M26 N7 N8 N9 N10 N11 N12 N13 N14 N15 N16 N17 N18 N19 N20 N21 N22 N23 N24 N25 N26 O7 O8 O9 O10 O11 O12 O13 O14 O15 O16 O17 O18 O19 O20 O21 O22 O23 O24 O25 O26 P7 P8 P9 P10 P11 P12 P13 P14 P15 P16 P17 P18 P19 P20 P21 P22 P23 P24 P25 P26 Q7 Q8 Q9 Q10 Q11 Q12 Q13 Q14 Q15 Q16 Q17 Q18 Q19 Q20 Q21 Q22 Q23 Q24 Q25 Q26 R7 R8 R9 R10 R11 R12 R13 R14 R15 R16 R17 R18 R19 R20 R21 R22 R23 R24 R25 R26 S7 S8 S9 S10 S11 S12 S13 S14 S15 S16 S17 S18 S19 S20 S21 S22 S23 S24 S25 S26 T7 T8 T9 T10 T11 T12 T13 T14 T15 T16 T17 T18 T19 T20 T21 T22 T23 T24 T25 T26 U7 U8 U9 U10 U11 U12 U13 U14 U15 U16 U17 U18 U19 U20 U21 U22 U23 U24 U25 U26 V7 V8 V9 V10 V11 V12 V13 V14 V15 V16 V17 V18 V19 V20 V21 V22 V23 V24 V25 V26 W7 W8 W9 W10 W11 W12 W13 W14 W15 W16 W17 W18 W19 W20 W21 W22 W23 W24 W25 W26 X7 X8 X9 X10 X11 X12 X13 X14 X15 X16 X17 X18 X19 X20 X21 X22 X23 X24 X25 X26 Y7 Y8 Y9 Y10 Y11 Y12 Y13 Y14 Y15 Y16 Y17 Y18 Y19 Y20 Y21 Y22 Y23 Y24 Y25 Y26 Z7 Z8 Z9 Z10 Z11 Z12 Z13 Z14 Z15 Z16 Z17 Z18 Z19 Z20 Z21 Z22 Z23 Z24 Z25 Z26 AA7 AA8 AA9 AA10 AA11 AA12 AA13 AA14 AA15 AA16 AA17 AA18 AA19 AA20 AA21 AA22 AA23 AA24 AA25 AA26 AB7 AB8 AB9 AB10 AB11 AB12 AB13 AB14 AB15 AB16 AB17 AB18 AB19 AB20 AB21 AB22 AB23 AB24 AB25 AB26 AC7 AC8 AC9 AC10 AC11 AC12 AC13 AC14 AC15 AC16 AC17 AC18 AC19 AC20 AC21 AC22 AC23 AC24 AC25 AC26 AD7 AD8 AD9 AD10 AD11 AD12 AD13 AD14 AD15 AD16 AD17 AD18 AD19 AD20 AD21 AD22 AD23 AD24 AD25 AD26 AE7 AE8 AE9 AE10 AE11 AE12 AE13 AE14 AE15 AE16 AE17 AE18 AE19 AE20 AE21 AE22 AE23 AE24 AE25 AE26 AF7 AF8 AF9 AF10 AF11 AF12 AF13 AF14 AF15 AF16 AF17 AF18 AF19 AF20 AF21 AF22 AF23 AF24 AF25 AF26 AG7 AG8 AG9 AG10 AG11 AG12 AG13 AG14 AG15 AG16 AG17 AG18 AG19 AG20 AG21 AG22 AG23 AG24 AG25 AG26 AH7 AH8 AH9 AH10 AH11 AH12 AH13 AH14 AH15 AH16 AH17 AH18 AH19 AH20 AH21 AH22 AH23 AH24 AH25 AH26 AI7 AI8 AI9 AI10 AI11 AI12 AI13 AI14 AI15 AI16 AI17 AI18 AI19 AI20 AI21 AI22 AI23 AI24 AI25 AI26" showDropDown="0" showInputMessage="0" showErrorMessage="0" allowBlank="1" type="list">
      <formula1>"0,1"</formula1>
    </dataValidation>
  </dataValidation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M3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9"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7" customWidth="1" min="36" max="36"/>
    <col width="18" customWidth="1" min="38" max="38"/>
    <col width="12" customWidth="1" min="39" max="39"/>
  </cols>
  <sheetData>
    <row r="1">
      <c r="A1" s="15" t="inlineStr">
        <is>
          <t>Nov Habit Tracker</t>
        </is>
      </c>
    </row>
    <row r="2">
      <c r="A2" s="10" t="inlineStr">
        <is>
          <t>Year:</t>
        </is>
      </c>
      <c r="B2">
        <f>Setup!$B$3</f>
        <v/>
      </c>
      <c r="C2" s="10" t="inlineStr">
        <is>
          <t>Month:</t>
        </is>
      </c>
      <c r="D2" t="inlineStr">
        <is>
          <t>Nov</t>
        </is>
      </c>
    </row>
    <row r="3">
      <c r="A3" s="10" t="inlineStr">
        <is>
          <t>Days in month:</t>
        </is>
      </c>
      <c r="B3">
        <f>DAY(EOMONTH(DATE(Setup!$B$3,11,1),0))</f>
        <v/>
      </c>
    </row>
    <row r="5" ht="18" customHeight="1">
      <c r="E5" s="16">
        <f>TEXT(DATE(Setup!$B$3,11,1),"ddd")</f>
        <v/>
      </c>
      <c r="F5" s="16">
        <f>TEXT(DATE(Setup!$B$3,11,2),"ddd")</f>
        <v/>
      </c>
      <c r="G5" s="16">
        <f>TEXT(DATE(Setup!$B$3,11,3),"ddd")</f>
        <v/>
      </c>
      <c r="H5" s="16">
        <f>TEXT(DATE(Setup!$B$3,11,4),"ddd")</f>
        <v/>
      </c>
      <c r="I5" s="16">
        <f>TEXT(DATE(Setup!$B$3,11,5),"ddd")</f>
        <v/>
      </c>
      <c r="J5" s="16">
        <f>TEXT(DATE(Setup!$B$3,11,6),"ddd")</f>
        <v/>
      </c>
      <c r="K5" s="16">
        <f>TEXT(DATE(Setup!$B$3,11,7),"ddd")</f>
        <v/>
      </c>
      <c r="L5" s="16">
        <f>TEXT(DATE(Setup!$B$3,11,8),"ddd")</f>
        <v/>
      </c>
      <c r="M5" s="16">
        <f>TEXT(DATE(Setup!$B$3,11,9),"ddd")</f>
        <v/>
      </c>
      <c r="N5" s="16">
        <f>TEXT(DATE(Setup!$B$3,11,10),"ddd")</f>
        <v/>
      </c>
      <c r="O5" s="16">
        <f>TEXT(DATE(Setup!$B$3,11,11),"ddd")</f>
        <v/>
      </c>
      <c r="P5" s="16">
        <f>TEXT(DATE(Setup!$B$3,11,12),"ddd")</f>
        <v/>
      </c>
      <c r="Q5" s="16">
        <f>TEXT(DATE(Setup!$B$3,11,13),"ddd")</f>
        <v/>
      </c>
      <c r="R5" s="16">
        <f>TEXT(DATE(Setup!$B$3,11,14),"ddd")</f>
        <v/>
      </c>
      <c r="S5" s="16">
        <f>TEXT(DATE(Setup!$B$3,11,15),"ddd")</f>
        <v/>
      </c>
      <c r="T5" s="16">
        <f>TEXT(DATE(Setup!$B$3,11,16),"ddd")</f>
        <v/>
      </c>
      <c r="U5" s="16">
        <f>TEXT(DATE(Setup!$B$3,11,17),"ddd")</f>
        <v/>
      </c>
      <c r="V5" s="16">
        <f>TEXT(DATE(Setup!$B$3,11,18),"ddd")</f>
        <v/>
      </c>
      <c r="W5" s="16">
        <f>TEXT(DATE(Setup!$B$3,11,19),"ddd")</f>
        <v/>
      </c>
      <c r="X5" s="16">
        <f>TEXT(DATE(Setup!$B$3,11,20),"ddd")</f>
        <v/>
      </c>
      <c r="Y5" s="16">
        <f>TEXT(DATE(Setup!$B$3,11,21),"ddd")</f>
        <v/>
      </c>
      <c r="Z5" s="16">
        <f>TEXT(DATE(Setup!$B$3,11,22),"ddd")</f>
        <v/>
      </c>
      <c r="AA5" s="16">
        <f>TEXT(DATE(Setup!$B$3,11,23),"ddd")</f>
        <v/>
      </c>
      <c r="AB5" s="16">
        <f>TEXT(DATE(Setup!$B$3,11,24),"ddd")</f>
        <v/>
      </c>
      <c r="AC5" s="16">
        <f>TEXT(DATE(Setup!$B$3,11,25),"ddd")</f>
        <v/>
      </c>
      <c r="AD5" s="16">
        <f>TEXT(DATE(Setup!$B$3,11,26),"ddd")</f>
        <v/>
      </c>
      <c r="AE5" s="16">
        <f>TEXT(DATE(Setup!$B$3,11,27),"ddd")</f>
        <v/>
      </c>
      <c r="AF5" s="16">
        <f>TEXT(DATE(Setup!$B$3,11,28),"ddd")</f>
        <v/>
      </c>
      <c r="AG5" s="16">
        <f>TEXT(DATE(Setup!$B$3,11,29),"ddd")</f>
        <v/>
      </c>
      <c r="AH5" s="16">
        <f>TEXT(DATE(Setup!$B$3,11,30),"ddd")</f>
        <v/>
      </c>
      <c r="AI5" s="16">
        <f>TEXT(DATE(Setup!$B$3,11,31),"ddd")</f>
        <v/>
      </c>
    </row>
    <row r="6" ht="18" customHeight="1">
      <c r="A6" s="17" t="inlineStr">
        <is>
          <t>Active</t>
        </is>
      </c>
      <c r="B6" s="17" t="inlineStr">
        <is>
          <t>Habit</t>
        </is>
      </c>
      <c r="C6" s="17" t="inlineStr">
        <is>
          <t>Type</t>
        </is>
      </c>
      <c r="D6" s="17" t="inlineStr">
        <is>
          <t>Points</t>
        </is>
      </c>
      <c r="E6" s="18" t="n">
        <v>1</v>
      </c>
      <c r="F6" s="18" t="n">
        <v>2</v>
      </c>
      <c r="G6" s="18" t="n">
        <v>3</v>
      </c>
      <c r="H6" s="18" t="n">
        <v>4</v>
      </c>
      <c r="I6" s="18" t="n">
        <v>5</v>
      </c>
      <c r="J6" s="18" t="n">
        <v>6</v>
      </c>
      <c r="K6" s="18" t="n">
        <v>7</v>
      </c>
      <c r="L6" s="18" t="n">
        <v>8</v>
      </c>
      <c r="M6" s="18" t="n">
        <v>9</v>
      </c>
      <c r="N6" s="18" t="n">
        <v>10</v>
      </c>
      <c r="O6" s="18" t="n">
        <v>11</v>
      </c>
      <c r="P6" s="18" t="n">
        <v>12</v>
      </c>
      <c r="Q6" s="18" t="n">
        <v>13</v>
      </c>
      <c r="R6" s="18" t="n">
        <v>14</v>
      </c>
      <c r="S6" s="18" t="n">
        <v>15</v>
      </c>
      <c r="T6" s="18" t="n">
        <v>16</v>
      </c>
      <c r="U6" s="18" t="n">
        <v>17</v>
      </c>
      <c r="V6" s="18" t="n">
        <v>18</v>
      </c>
      <c r="W6" s="18" t="n">
        <v>19</v>
      </c>
      <c r="X6" s="18" t="n">
        <v>20</v>
      </c>
      <c r="Y6" s="18" t="n">
        <v>21</v>
      </c>
      <c r="Z6" s="18" t="n">
        <v>22</v>
      </c>
      <c r="AA6" s="18" t="n">
        <v>23</v>
      </c>
      <c r="AB6" s="18" t="n">
        <v>24</v>
      </c>
      <c r="AC6" s="18" t="n">
        <v>25</v>
      </c>
      <c r="AD6" s="18" t="n">
        <v>26</v>
      </c>
      <c r="AE6" s="18" t="n">
        <v>27</v>
      </c>
      <c r="AF6" s="18" t="n">
        <v>28</v>
      </c>
      <c r="AG6" s="18" t="n">
        <v>29</v>
      </c>
      <c r="AH6" s="18" t="n">
        <v>30</v>
      </c>
      <c r="AI6" s="18" t="n">
        <v>31</v>
      </c>
      <c r="AJ6" s="17" t="inlineStr">
        <is>
          <t>Total</t>
        </is>
      </c>
    </row>
    <row r="7">
      <c r="A7" s="19">
        <f>Setup!D9</f>
        <v/>
      </c>
      <c r="B7" s="20">
        <f>Setup!A9</f>
        <v/>
      </c>
      <c r="C7" s="19">
        <f>Setup!B9</f>
        <v/>
      </c>
      <c r="D7" s="19">
        <f>Setup!E9</f>
        <v/>
      </c>
      <c r="E7" s="21" t="inlineStr"/>
      <c r="F7" s="21" t="inlineStr"/>
      <c r="G7" s="21" t="inlineStr"/>
      <c r="H7" s="21" t="inlineStr"/>
      <c r="I7" s="21" t="inlineStr"/>
      <c r="J7" s="21" t="inlineStr"/>
      <c r="K7" s="21" t="inlineStr"/>
      <c r="L7" s="21" t="inlineStr"/>
      <c r="M7" s="21" t="inlineStr"/>
      <c r="N7" s="21" t="inlineStr"/>
      <c r="O7" s="21" t="inlineStr"/>
      <c r="P7" s="21" t="inlineStr"/>
      <c r="Q7" s="21" t="inlineStr"/>
      <c r="R7" s="21" t="inlineStr"/>
      <c r="S7" s="21" t="inlineStr"/>
      <c r="T7" s="21" t="inlineStr"/>
      <c r="U7" s="21" t="inlineStr"/>
      <c r="V7" s="21" t="inlineStr"/>
      <c r="W7" s="21" t="inlineStr"/>
      <c r="X7" s="21" t="inlineStr"/>
      <c r="Y7" s="21" t="inlineStr"/>
      <c r="Z7" s="21" t="inlineStr"/>
      <c r="AA7" s="21" t="inlineStr"/>
      <c r="AB7" s="21" t="inlineStr"/>
      <c r="AC7" s="21" t="inlineStr"/>
      <c r="AD7" s="21" t="inlineStr"/>
      <c r="AE7" s="21" t="inlineStr"/>
      <c r="AF7" s="21" t="inlineStr"/>
      <c r="AG7" s="21" t="inlineStr"/>
      <c r="AH7" s="21" t="inlineStr"/>
      <c r="AI7" s="21" t="inlineStr"/>
      <c r="AJ7" s="22">
        <f>IF($A7=1,SUMPRODUCT(($E$6:$AI$6&lt;=$B$3)*(E7:AI7)),"")</f>
        <v/>
      </c>
    </row>
    <row r="8">
      <c r="A8" s="19">
        <f>Setup!D10</f>
        <v/>
      </c>
      <c r="B8" s="20">
        <f>Setup!A10</f>
        <v/>
      </c>
      <c r="C8" s="19">
        <f>Setup!B10</f>
        <v/>
      </c>
      <c r="D8" s="19">
        <f>Setup!E10</f>
        <v/>
      </c>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2">
        <f>IF($A8=1,SUMPRODUCT(($E$6:$AI$6&lt;=$B$3)*(E8:AI8)),"")</f>
        <v/>
      </c>
    </row>
    <row r="9">
      <c r="A9" s="19">
        <f>Setup!D11</f>
        <v/>
      </c>
      <c r="B9" s="20">
        <f>Setup!A11</f>
        <v/>
      </c>
      <c r="C9" s="19">
        <f>Setup!B11</f>
        <v/>
      </c>
      <c r="D9" s="19">
        <f>Setup!E11</f>
        <v/>
      </c>
      <c r="E9" s="21" t="inlineStr"/>
      <c r="F9" s="21" t="inlineStr"/>
      <c r="G9" s="21" t="inlineStr"/>
      <c r="H9" s="21" t="inlineStr"/>
      <c r="I9" s="21" t="inlineStr"/>
      <c r="J9" s="21" t="inlineStr"/>
      <c r="K9" s="21" t="inlineStr"/>
      <c r="L9" s="21" t="inlineStr"/>
      <c r="M9" s="21" t="inlineStr"/>
      <c r="N9" s="21" t="inlineStr"/>
      <c r="O9" s="21" t="inlineStr"/>
      <c r="P9" s="21" t="inlineStr"/>
      <c r="Q9" s="21" t="inlineStr"/>
      <c r="R9" s="21" t="inlineStr"/>
      <c r="S9" s="21" t="inlineStr"/>
      <c r="T9" s="21" t="inlineStr"/>
      <c r="U9" s="21" t="inlineStr"/>
      <c r="V9" s="21" t="inlineStr"/>
      <c r="W9" s="21" t="inlineStr"/>
      <c r="X9" s="21" t="inlineStr"/>
      <c r="Y9" s="21" t="inlineStr"/>
      <c r="Z9" s="21" t="inlineStr"/>
      <c r="AA9" s="21" t="inlineStr"/>
      <c r="AB9" s="21" t="inlineStr"/>
      <c r="AC9" s="21" t="inlineStr"/>
      <c r="AD9" s="21" t="inlineStr"/>
      <c r="AE9" s="21" t="inlineStr"/>
      <c r="AF9" s="21" t="inlineStr"/>
      <c r="AG9" s="21" t="inlineStr"/>
      <c r="AH9" s="21" t="inlineStr"/>
      <c r="AI9" s="21" t="inlineStr"/>
      <c r="AJ9" s="22">
        <f>IF($A9=1,SUMPRODUCT(($E$6:$AI$6&lt;=$B$3)*(E9:AI9)),"")</f>
        <v/>
      </c>
    </row>
    <row r="10">
      <c r="A10" s="19">
        <f>Setup!D12</f>
        <v/>
      </c>
      <c r="B10" s="20">
        <f>Setup!A12</f>
        <v/>
      </c>
      <c r="C10" s="19">
        <f>Setup!B12</f>
        <v/>
      </c>
      <c r="D10" s="19">
        <f>Setup!E12</f>
        <v/>
      </c>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2">
        <f>IF($A10=1,SUMPRODUCT(($E$6:$AI$6&lt;=$B$3)*(E10:AI10)),"")</f>
        <v/>
      </c>
    </row>
    <row r="11">
      <c r="A11" s="19">
        <f>Setup!D13</f>
        <v/>
      </c>
      <c r="B11" s="20">
        <f>Setup!A13</f>
        <v/>
      </c>
      <c r="C11" s="19">
        <f>Setup!B13</f>
        <v/>
      </c>
      <c r="D11" s="19">
        <f>Setup!E13</f>
        <v/>
      </c>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c r="R11" s="21" t="inlineStr"/>
      <c r="S11" s="21" t="inlineStr"/>
      <c r="T11" s="21" t="inlineStr"/>
      <c r="U11" s="21" t="inlineStr"/>
      <c r="V11" s="21" t="inlineStr"/>
      <c r="W11" s="21" t="inlineStr"/>
      <c r="X11" s="21" t="inlineStr"/>
      <c r="Y11" s="21" t="inlineStr"/>
      <c r="Z11" s="21" t="inlineStr"/>
      <c r="AA11" s="21" t="inlineStr"/>
      <c r="AB11" s="21" t="inlineStr"/>
      <c r="AC11" s="21" t="inlineStr"/>
      <c r="AD11" s="21" t="inlineStr"/>
      <c r="AE11" s="21" t="inlineStr"/>
      <c r="AF11" s="21" t="inlineStr"/>
      <c r="AG11" s="21" t="inlineStr"/>
      <c r="AH11" s="21" t="inlineStr"/>
      <c r="AI11" s="21" t="inlineStr"/>
      <c r="AJ11" s="22">
        <f>IF($A11=1,SUMPRODUCT(($E$6:$AI$6&lt;=$B$3)*(E11:AI11)),"")</f>
        <v/>
      </c>
    </row>
    <row r="12">
      <c r="A12" s="19">
        <f>Setup!D14</f>
        <v/>
      </c>
      <c r="B12" s="20">
        <f>Setup!A14</f>
        <v/>
      </c>
      <c r="C12" s="19">
        <f>Setup!B14</f>
        <v/>
      </c>
      <c r="D12" s="19">
        <f>Setup!E14</f>
        <v/>
      </c>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2">
        <f>IF($A12=1,SUMPRODUCT(($E$6:$AI$6&lt;=$B$3)*(E12:AI12)),"")</f>
        <v/>
      </c>
    </row>
    <row r="13">
      <c r="A13" s="19">
        <f>Setup!D15</f>
        <v/>
      </c>
      <c r="B13" s="20">
        <f>Setup!A15</f>
        <v/>
      </c>
      <c r="C13" s="19">
        <f>Setup!B15</f>
        <v/>
      </c>
      <c r="D13" s="19">
        <f>Setup!E15</f>
        <v/>
      </c>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c r="U13" s="21" t="inlineStr"/>
      <c r="V13" s="21" t="inlineStr"/>
      <c r="W13" s="21" t="inlineStr"/>
      <c r="X13" s="21" t="inlineStr"/>
      <c r="Y13" s="21" t="inlineStr"/>
      <c r="Z13" s="21" t="inlineStr"/>
      <c r="AA13" s="21" t="inlineStr"/>
      <c r="AB13" s="21" t="inlineStr"/>
      <c r="AC13" s="21" t="inlineStr"/>
      <c r="AD13" s="21" t="inlineStr"/>
      <c r="AE13" s="21" t="inlineStr"/>
      <c r="AF13" s="21" t="inlineStr"/>
      <c r="AG13" s="21" t="inlineStr"/>
      <c r="AH13" s="21" t="inlineStr"/>
      <c r="AI13" s="21" t="inlineStr"/>
      <c r="AJ13" s="22">
        <f>IF($A13=1,SUMPRODUCT(($E$6:$AI$6&lt;=$B$3)*(E13:AI13)),"")</f>
        <v/>
      </c>
    </row>
    <row r="14">
      <c r="A14" s="19">
        <f>Setup!D16</f>
        <v/>
      </c>
      <c r="B14" s="20">
        <f>Setup!A16</f>
        <v/>
      </c>
      <c r="C14" s="19">
        <f>Setup!B16</f>
        <v/>
      </c>
      <c r="D14" s="19">
        <f>Setup!E16</f>
        <v/>
      </c>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2">
        <f>IF($A14=1,SUMPRODUCT(($E$6:$AI$6&lt;=$B$3)*(E14:AI14)),"")</f>
        <v/>
      </c>
    </row>
    <row r="15">
      <c r="A15" s="19">
        <f>Setup!D17</f>
        <v/>
      </c>
      <c r="B15" s="20">
        <f>Setup!A17</f>
        <v/>
      </c>
      <c r="C15" s="19">
        <f>Setup!B17</f>
        <v/>
      </c>
      <c r="D15" s="19">
        <f>Setup!E17</f>
        <v/>
      </c>
      <c r="E15" s="21" t="inlineStr"/>
      <c r="F15" s="21" t="inlineStr"/>
      <c r="G15" s="21" t="inlineStr"/>
      <c r="H15" s="21" t="inlineStr"/>
      <c r="I15" s="21" t="inlineStr"/>
      <c r="J15" s="21" t="inlineStr"/>
      <c r="K15" s="21" t="inlineStr"/>
      <c r="L15" s="21" t="inlineStr"/>
      <c r="M15" s="21" t="inlineStr"/>
      <c r="N15" s="21" t="inlineStr"/>
      <c r="O15" s="21" t="inlineStr"/>
      <c r="P15" s="21" t="inlineStr"/>
      <c r="Q15" s="21" t="inlineStr"/>
      <c r="R15" s="21" t="inlineStr"/>
      <c r="S15" s="21" t="inlineStr"/>
      <c r="T15" s="21" t="inlineStr"/>
      <c r="U15" s="21" t="inlineStr"/>
      <c r="V15" s="21" t="inlineStr"/>
      <c r="W15" s="21" t="inlineStr"/>
      <c r="X15" s="21" t="inlineStr"/>
      <c r="Y15" s="21" t="inlineStr"/>
      <c r="Z15" s="21" t="inlineStr"/>
      <c r="AA15" s="21" t="inlineStr"/>
      <c r="AB15" s="21" t="inlineStr"/>
      <c r="AC15" s="21" t="inlineStr"/>
      <c r="AD15" s="21" t="inlineStr"/>
      <c r="AE15" s="21" t="inlineStr"/>
      <c r="AF15" s="21" t="inlineStr"/>
      <c r="AG15" s="21" t="inlineStr"/>
      <c r="AH15" s="21" t="inlineStr"/>
      <c r="AI15" s="21" t="inlineStr"/>
      <c r="AJ15" s="22">
        <f>IF($A15=1,SUMPRODUCT(($E$6:$AI$6&lt;=$B$3)*(E15:AI15)),"")</f>
        <v/>
      </c>
    </row>
    <row r="16">
      <c r="A16" s="19">
        <f>Setup!D18</f>
        <v/>
      </c>
      <c r="B16" s="20">
        <f>Setup!A18</f>
        <v/>
      </c>
      <c r="C16" s="19">
        <f>Setup!B18</f>
        <v/>
      </c>
      <c r="D16" s="19">
        <f>Setup!E18</f>
        <v/>
      </c>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2">
        <f>IF($A16=1,SUMPRODUCT(($E$6:$AI$6&lt;=$B$3)*(E16:AI16)),"")</f>
        <v/>
      </c>
    </row>
    <row r="17">
      <c r="A17" s="19">
        <f>Setup!D19</f>
        <v/>
      </c>
      <c r="B17" s="20">
        <f>Setup!A19</f>
        <v/>
      </c>
      <c r="C17" s="19">
        <f>Setup!B19</f>
        <v/>
      </c>
      <c r="D17" s="19">
        <f>Setup!E19</f>
        <v/>
      </c>
      <c r="E17" s="21" t="inlineStr"/>
      <c r="F17" s="21" t="inlineStr"/>
      <c r="G17" s="21" t="inlineStr"/>
      <c r="H17" s="21" t="inlineStr"/>
      <c r="I17" s="21" t="inlineStr"/>
      <c r="J17" s="21" t="inlineStr"/>
      <c r="K17" s="21" t="inlineStr"/>
      <c r="L17" s="21" t="inlineStr"/>
      <c r="M17" s="21" t="inlineStr"/>
      <c r="N17" s="21" t="inlineStr"/>
      <c r="O17" s="21" t="inlineStr"/>
      <c r="P17" s="21" t="inlineStr"/>
      <c r="Q17" s="21" t="inlineStr"/>
      <c r="R17" s="21" t="inlineStr"/>
      <c r="S17" s="21" t="inlineStr"/>
      <c r="T17" s="21" t="inlineStr"/>
      <c r="U17" s="21" t="inlineStr"/>
      <c r="V17" s="21" t="inlineStr"/>
      <c r="W17" s="21" t="inlineStr"/>
      <c r="X17" s="21" t="inlineStr"/>
      <c r="Y17" s="21" t="inlineStr"/>
      <c r="Z17" s="21" t="inlineStr"/>
      <c r="AA17" s="21" t="inlineStr"/>
      <c r="AB17" s="21" t="inlineStr"/>
      <c r="AC17" s="21" t="inlineStr"/>
      <c r="AD17" s="21" t="inlineStr"/>
      <c r="AE17" s="21" t="inlineStr"/>
      <c r="AF17" s="21" t="inlineStr"/>
      <c r="AG17" s="21" t="inlineStr"/>
      <c r="AH17" s="21" t="inlineStr"/>
      <c r="AI17" s="21" t="inlineStr"/>
      <c r="AJ17" s="22">
        <f>IF($A17=1,SUMPRODUCT(($E$6:$AI$6&lt;=$B$3)*(E17:AI17)),"")</f>
        <v/>
      </c>
    </row>
    <row r="18">
      <c r="A18" s="19">
        <f>Setup!D20</f>
        <v/>
      </c>
      <c r="B18" s="20">
        <f>Setup!A20</f>
        <v/>
      </c>
      <c r="C18" s="19">
        <f>Setup!B20</f>
        <v/>
      </c>
      <c r="D18" s="19">
        <f>Setup!E20</f>
        <v/>
      </c>
      <c r="E18" s="21" t="inlineStr"/>
      <c r="F18" s="21" t="inlineStr"/>
      <c r="G18" s="21" t="inlineStr"/>
      <c r="H18" s="21" t="inlineStr"/>
      <c r="I18" s="21" t="inlineStr"/>
      <c r="J18" s="21" t="inlineStr"/>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2">
        <f>IF($A18=1,SUMPRODUCT(($E$6:$AI$6&lt;=$B$3)*(E18:AI18)),"")</f>
        <v/>
      </c>
    </row>
    <row r="19">
      <c r="A19" s="19">
        <f>Setup!D21</f>
        <v/>
      </c>
      <c r="B19" s="20">
        <f>Setup!A21</f>
        <v/>
      </c>
      <c r="C19" s="19">
        <f>Setup!B21</f>
        <v/>
      </c>
      <c r="D19" s="19">
        <f>Setup!E21</f>
        <v/>
      </c>
      <c r="E19" s="21" t="inlineStr"/>
      <c r="F19" s="21" t="inlineStr"/>
      <c r="G19" s="21" t="inlineStr"/>
      <c r="H19" s="21" t="inlineStr"/>
      <c r="I19" s="21" t="inlineStr"/>
      <c r="J19" s="21" t="inlineStr"/>
      <c r="K19" s="21" t="inlineStr"/>
      <c r="L19" s="21" t="inlineStr"/>
      <c r="M19" s="21" t="inlineStr"/>
      <c r="N19" s="21" t="inlineStr"/>
      <c r="O19" s="21" t="inlineStr"/>
      <c r="P19" s="21" t="inlineStr"/>
      <c r="Q19" s="21" t="inlineStr"/>
      <c r="R19" s="21" t="inlineStr"/>
      <c r="S19" s="21" t="inlineStr"/>
      <c r="T19" s="21" t="inlineStr"/>
      <c r="U19" s="21" t="inlineStr"/>
      <c r="V19" s="21" t="inlineStr"/>
      <c r="W19" s="21" t="inlineStr"/>
      <c r="X19" s="21" t="inlineStr"/>
      <c r="Y19" s="21" t="inlineStr"/>
      <c r="Z19" s="21" t="inlineStr"/>
      <c r="AA19" s="21" t="inlineStr"/>
      <c r="AB19" s="21" t="inlineStr"/>
      <c r="AC19" s="21" t="inlineStr"/>
      <c r="AD19" s="21" t="inlineStr"/>
      <c r="AE19" s="21" t="inlineStr"/>
      <c r="AF19" s="21" t="inlineStr"/>
      <c r="AG19" s="21" t="inlineStr"/>
      <c r="AH19" s="21" t="inlineStr"/>
      <c r="AI19" s="21" t="inlineStr"/>
      <c r="AJ19" s="22">
        <f>IF($A19=1,SUMPRODUCT(($E$6:$AI$6&lt;=$B$3)*(E19:AI19)),"")</f>
        <v/>
      </c>
    </row>
    <row r="20">
      <c r="A20" s="19">
        <f>Setup!D22</f>
        <v/>
      </c>
      <c r="B20" s="20">
        <f>Setup!A22</f>
        <v/>
      </c>
      <c r="C20" s="19">
        <f>Setup!B22</f>
        <v/>
      </c>
      <c r="D20" s="19">
        <f>Setup!E22</f>
        <v/>
      </c>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2">
        <f>IF($A20=1,SUMPRODUCT(($E$6:$AI$6&lt;=$B$3)*(E20:AI20)),"")</f>
        <v/>
      </c>
    </row>
    <row r="21">
      <c r="A21" s="19">
        <f>Setup!D23</f>
        <v/>
      </c>
      <c r="B21" s="20">
        <f>Setup!A23</f>
        <v/>
      </c>
      <c r="C21" s="19">
        <f>Setup!B23</f>
        <v/>
      </c>
      <c r="D21" s="19">
        <f>Setup!E23</f>
        <v/>
      </c>
      <c r="E21" s="21" t="inlineStr"/>
      <c r="F21" s="21" t="inlineStr"/>
      <c r="G21" s="21" t="inlineStr"/>
      <c r="H21" s="21" t="inlineStr"/>
      <c r="I21" s="21" t="inlineStr"/>
      <c r="J21" s="21" t="inlineStr"/>
      <c r="K21" s="21" t="inlineStr"/>
      <c r="L21" s="21" t="inlineStr"/>
      <c r="M21" s="21" t="inlineStr"/>
      <c r="N21" s="21" t="inlineStr"/>
      <c r="O21" s="21" t="inlineStr"/>
      <c r="P21" s="21" t="inlineStr"/>
      <c r="Q21" s="21" t="inlineStr"/>
      <c r="R21" s="21" t="inlineStr"/>
      <c r="S21" s="21" t="inlineStr"/>
      <c r="T21" s="21" t="inlineStr"/>
      <c r="U21" s="21" t="inlineStr"/>
      <c r="V21" s="21" t="inlineStr"/>
      <c r="W21" s="21" t="inlineStr"/>
      <c r="X21" s="21" t="inlineStr"/>
      <c r="Y21" s="21" t="inlineStr"/>
      <c r="Z21" s="21" t="inlineStr"/>
      <c r="AA21" s="21" t="inlineStr"/>
      <c r="AB21" s="21" t="inlineStr"/>
      <c r="AC21" s="21" t="inlineStr"/>
      <c r="AD21" s="21" t="inlineStr"/>
      <c r="AE21" s="21" t="inlineStr"/>
      <c r="AF21" s="21" t="inlineStr"/>
      <c r="AG21" s="21" t="inlineStr"/>
      <c r="AH21" s="21" t="inlineStr"/>
      <c r="AI21" s="21" t="inlineStr"/>
      <c r="AJ21" s="22">
        <f>IF($A21=1,SUMPRODUCT(($E$6:$AI$6&lt;=$B$3)*(E21:AI21)),"")</f>
        <v/>
      </c>
    </row>
    <row r="22">
      <c r="A22" s="19">
        <f>Setup!D24</f>
        <v/>
      </c>
      <c r="B22" s="20">
        <f>Setup!A24</f>
        <v/>
      </c>
      <c r="C22" s="19">
        <f>Setup!B24</f>
        <v/>
      </c>
      <c r="D22" s="19">
        <f>Setup!E24</f>
        <v/>
      </c>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c r="Y22" s="21" t="inlineStr"/>
      <c r="Z22" s="21" t="inlineStr"/>
      <c r="AA22" s="21" t="inlineStr"/>
      <c r="AB22" s="21" t="inlineStr"/>
      <c r="AC22" s="21" t="inlineStr"/>
      <c r="AD22" s="21" t="inlineStr"/>
      <c r="AE22" s="21" t="inlineStr"/>
      <c r="AF22" s="21" t="inlineStr"/>
      <c r="AG22" s="21" t="inlineStr"/>
      <c r="AH22" s="21" t="inlineStr"/>
      <c r="AI22" s="21" t="inlineStr"/>
      <c r="AJ22" s="22">
        <f>IF($A22=1,SUMPRODUCT(($E$6:$AI$6&lt;=$B$3)*(E22:AI22)),"")</f>
        <v/>
      </c>
    </row>
    <row r="23">
      <c r="A23" s="19">
        <f>Setup!D25</f>
        <v/>
      </c>
      <c r="B23" s="20">
        <f>Setup!A25</f>
        <v/>
      </c>
      <c r="C23" s="19">
        <f>Setup!B25</f>
        <v/>
      </c>
      <c r="D23" s="19">
        <f>Setup!E25</f>
        <v/>
      </c>
      <c r="E23" s="21" t="inlineStr"/>
      <c r="F23" s="21" t="inlineStr"/>
      <c r="G23" s="21" t="inlineStr"/>
      <c r="H23" s="21" t="inlineStr"/>
      <c r="I23" s="21" t="inlineStr"/>
      <c r="J23" s="21" t="inlineStr"/>
      <c r="K23" s="21" t="inlineStr"/>
      <c r="L23" s="21" t="inlineStr"/>
      <c r="M23" s="21" t="inlineStr"/>
      <c r="N23" s="21" t="inlineStr"/>
      <c r="O23" s="21" t="inlineStr"/>
      <c r="P23" s="21" t="inlineStr"/>
      <c r="Q23" s="21" t="inlineStr"/>
      <c r="R23" s="21" t="inlineStr"/>
      <c r="S23" s="21" t="inlineStr"/>
      <c r="T23" s="21" t="inlineStr"/>
      <c r="U23" s="21" t="inlineStr"/>
      <c r="V23" s="21" t="inlineStr"/>
      <c r="W23" s="21" t="inlineStr"/>
      <c r="X23" s="21" t="inlineStr"/>
      <c r="Y23" s="21" t="inlineStr"/>
      <c r="Z23" s="21" t="inlineStr"/>
      <c r="AA23" s="21" t="inlineStr"/>
      <c r="AB23" s="21" t="inlineStr"/>
      <c r="AC23" s="21" t="inlineStr"/>
      <c r="AD23" s="21" t="inlineStr"/>
      <c r="AE23" s="21" t="inlineStr"/>
      <c r="AF23" s="21" t="inlineStr"/>
      <c r="AG23" s="21" t="inlineStr"/>
      <c r="AH23" s="21" t="inlineStr"/>
      <c r="AI23" s="21" t="inlineStr"/>
      <c r="AJ23" s="22">
        <f>IF($A23=1,SUMPRODUCT(($E$6:$AI$6&lt;=$B$3)*(E23:AI23)),"")</f>
        <v/>
      </c>
    </row>
    <row r="24">
      <c r="A24" s="19">
        <f>Setup!D26</f>
        <v/>
      </c>
      <c r="B24" s="20">
        <f>Setup!A26</f>
        <v/>
      </c>
      <c r="C24" s="19">
        <f>Setup!B26</f>
        <v/>
      </c>
      <c r="D24" s="19">
        <f>Setup!E26</f>
        <v/>
      </c>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c r="Y24" s="21" t="inlineStr"/>
      <c r="Z24" s="21" t="inlineStr"/>
      <c r="AA24" s="21" t="inlineStr"/>
      <c r="AB24" s="21" t="inlineStr"/>
      <c r="AC24" s="21" t="inlineStr"/>
      <c r="AD24" s="21" t="inlineStr"/>
      <c r="AE24" s="21" t="inlineStr"/>
      <c r="AF24" s="21" t="inlineStr"/>
      <c r="AG24" s="21" t="inlineStr"/>
      <c r="AH24" s="21" t="inlineStr"/>
      <c r="AI24" s="21" t="inlineStr"/>
      <c r="AJ24" s="22">
        <f>IF($A24=1,SUMPRODUCT(($E$6:$AI$6&lt;=$B$3)*(E24:AI24)),"")</f>
        <v/>
      </c>
    </row>
    <row r="25">
      <c r="A25" s="19">
        <f>Setup!D27</f>
        <v/>
      </c>
      <c r="B25" s="20">
        <f>Setup!A27</f>
        <v/>
      </c>
      <c r="C25" s="19">
        <f>Setup!B27</f>
        <v/>
      </c>
      <c r="D25" s="19">
        <f>Setup!E27</f>
        <v/>
      </c>
      <c r="E25" s="21" t="inlineStr"/>
      <c r="F25" s="21" t="inlineStr"/>
      <c r="G25" s="21" t="inlineStr"/>
      <c r="H25" s="21" t="inlineStr"/>
      <c r="I25" s="21" t="inlineStr"/>
      <c r="J25" s="21" t="inlineStr"/>
      <c r="K25" s="21" t="inlineStr"/>
      <c r="L25" s="21" t="inlineStr"/>
      <c r="M25" s="21" t="inlineStr"/>
      <c r="N25" s="21" t="inlineStr"/>
      <c r="O25" s="21" t="inlineStr"/>
      <c r="P25" s="21" t="inlineStr"/>
      <c r="Q25" s="21" t="inlineStr"/>
      <c r="R25" s="21" t="inlineStr"/>
      <c r="S25" s="21" t="inlineStr"/>
      <c r="T25" s="21" t="inlineStr"/>
      <c r="U25" s="21" t="inlineStr"/>
      <c r="V25" s="21" t="inlineStr"/>
      <c r="W25" s="21" t="inlineStr"/>
      <c r="X25" s="21" t="inlineStr"/>
      <c r="Y25" s="21" t="inlineStr"/>
      <c r="Z25" s="21" t="inlineStr"/>
      <c r="AA25" s="21" t="inlineStr"/>
      <c r="AB25" s="21" t="inlineStr"/>
      <c r="AC25" s="21" t="inlineStr"/>
      <c r="AD25" s="21" t="inlineStr"/>
      <c r="AE25" s="21" t="inlineStr"/>
      <c r="AF25" s="21" t="inlineStr"/>
      <c r="AG25" s="21" t="inlineStr"/>
      <c r="AH25" s="21" t="inlineStr"/>
      <c r="AI25" s="21" t="inlineStr"/>
      <c r="AJ25" s="22">
        <f>IF($A25=1,SUMPRODUCT(($E$6:$AI$6&lt;=$B$3)*(E25:AI25)),"")</f>
        <v/>
      </c>
    </row>
    <row r="26">
      <c r="A26" s="19">
        <f>Setup!D28</f>
        <v/>
      </c>
      <c r="B26" s="20">
        <f>Setup!A28</f>
        <v/>
      </c>
      <c r="C26" s="19">
        <f>Setup!B28</f>
        <v/>
      </c>
      <c r="D26" s="19">
        <f>Setup!E28</f>
        <v/>
      </c>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2">
        <f>IF($A26=1,SUMPRODUCT(($E$6:$AI$6&lt;=$B$3)*(E26:AI26)),"")</f>
        <v/>
      </c>
    </row>
    <row r="29">
      <c r="A29" s="23" t="inlineStr">
        <is>
          <t>Daily summary</t>
        </is>
      </c>
    </row>
    <row r="30">
      <c r="A30" s="8" t="inlineStr">
        <is>
          <t>Good habits done</t>
        </is>
      </c>
      <c r="E30" s="19">
        <f>SUMPRODUCT(($A$7:$A$26=1)*($C$7:$C$26="Good")*(E7:E26))</f>
        <v/>
      </c>
      <c r="F30" s="19">
        <f>SUMPRODUCT(($A$7:$A$26=1)*($C$7:$C$26="Good")*(F7:F26))</f>
        <v/>
      </c>
      <c r="G30" s="19">
        <f>SUMPRODUCT(($A$7:$A$26=1)*($C$7:$C$26="Good")*(G7:G26))</f>
        <v/>
      </c>
      <c r="H30" s="19">
        <f>SUMPRODUCT(($A$7:$A$26=1)*($C$7:$C$26="Good")*(H7:H26))</f>
        <v/>
      </c>
      <c r="I30" s="19">
        <f>SUMPRODUCT(($A$7:$A$26=1)*($C$7:$C$26="Good")*(I7:I26))</f>
        <v/>
      </c>
      <c r="J30" s="19">
        <f>SUMPRODUCT(($A$7:$A$26=1)*($C$7:$C$26="Good")*(J7:J26))</f>
        <v/>
      </c>
      <c r="K30" s="19">
        <f>SUMPRODUCT(($A$7:$A$26=1)*($C$7:$C$26="Good")*(K7:K26))</f>
        <v/>
      </c>
      <c r="L30" s="19">
        <f>SUMPRODUCT(($A$7:$A$26=1)*($C$7:$C$26="Good")*(L7:L26))</f>
        <v/>
      </c>
      <c r="M30" s="19">
        <f>SUMPRODUCT(($A$7:$A$26=1)*($C$7:$C$26="Good")*(M7:M26))</f>
        <v/>
      </c>
      <c r="N30" s="19">
        <f>SUMPRODUCT(($A$7:$A$26=1)*($C$7:$C$26="Good")*(N7:N26))</f>
        <v/>
      </c>
      <c r="O30" s="19">
        <f>SUMPRODUCT(($A$7:$A$26=1)*($C$7:$C$26="Good")*(O7:O26))</f>
        <v/>
      </c>
      <c r="P30" s="19">
        <f>SUMPRODUCT(($A$7:$A$26=1)*($C$7:$C$26="Good")*(P7:P26))</f>
        <v/>
      </c>
      <c r="Q30" s="19">
        <f>SUMPRODUCT(($A$7:$A$26=1)*($C$7:$C$26="Good")*(Q7:Q26))</f>
        <v/>
      </c>
      <c r="R30" s="19">
        <f>SUMPRODUCT(($A$7:$A$26=1)*($C$7:$C$26="Good")*(R7:R26))</f>
        <v/>
      </c>
      <c r="S30" s="19">
        <f>SUMPRODUCT(($A$7:$A$26=1)*($C$7:$C$26="Good")*(S7:S26))</f>
        <v/>
      </c>
      <c r="T30" s="19">
        <f>SUMPRODUCT(($A$7:$A$26=1)*($C$7:$C$26="Good")*(T7:T26))</f>
        <v/>
      </c>
      <c r="U30" s="19">
        <f>SUMPRODUCT(($A$7:$A$26=1)*($C$7:$C$26="Good")*(U7:U26))</f>
        <v/>
      </c>
      <c r="V30" s="19">
        <f>SUMPRODUCT(($A$7:$A$26=1)*($C$7:$C$26="Good")*(V7:V26))</f>
        <v/>
      </c>
      <c r="W30" s="19">
        <f>SUMPRODUCT(($A$7:$A$26=1)*($C$7:$C$26="Good")*(W7:W26))</f>
        <v/>
      </c>
      <c r="X30" s="19">
        <f>SUMPRODUCT(($A$7:$A$26=1)*($C$7:$C$26="Good")*(X7:X26))</f>
        <v/>
      </c>
      <c r="Y30" s="19">
        <f>SUMPRODUCT(($A$7:$A$26=1)*($C$7:$C$26="Good")*(Y7:Y26))</f>
        <v/>
      </c>
      <c r="Z30" s="19">
        <f>SUMPRODUCT(($A$7:$A$26=1)*($C$7:$C$26="Good")*(Z7:Z26))</f>
        <v/>
      </c>
      <c r="AA30" s="19">
        <f>SUMPRODUCT(($A$7:$A$26=1)*($C$7:$C$26="Good")*(AA7:AA26))</f>
        <v/>
      </c>
      <c r="AB30" s="19">
        <f>SUMPRODUCT(($A$7:$A$26=1)*($C$7:$C$26="Good")*(AB7:AB26))</f>
        <v/>
      </c>
      <c r="AC30" s="19">
        <f>SUMPRODUCT(($A$7:$A$26=1)*($C$7:$C$26="Good")*(AC7:AC26))</f>
        <v/>
      </c>
      <c r="AD30" s="19">
        <f>SUMPRODUCT(($A$7:$A$26=1)*($C$7:$C$26="Good")*(AD7:AD26))</f>
        <v/>
      </c>
      <c r="AE30" s="19">
        <f>SUMPRODUCT(($A$7:$A$26=1)*($C$7:$C$26="Good")*(AE7:AE26))</f>
        <v/>
      </c>
      <c r="AF30" s="19">
        <f>SUMPRODUCT(($A$7:$A$26=1)*($C$7:$C$26="Good")*(AF7:AF26))</f>
        <v/>
      </c>
      <c r="AG30" s="19">
        <f>SUMPRODUCT(($A$7:$A$26=1)*($C$7:$C$26="Good")*(AG7:AG26))</f>
        <v/>
      </c>
      <c r="AH30" s="19">
        <f>SUMPRODUCT(($A$7:$A$26=1)*($C$7:$C$26="Good")*(AH7:AH26))</f>
        <v/>
      </c>
      <c r="AI30" s="19">
        <f>SUMPRODUCT(($A$7:$A$26=1)*($C$7:$C$26="Good")*(AI7:AI26))</f>
        <v/>
      </c>
      <c r="AL30" s="24" t="inlineStr">
        <is>
          <t>Monthly totals</t>
        </is>
      </c>
    </row>
    <row r="31">
      <c r="A31" s="8" t="inlineStr">
        <is>
          <t>Bad habits happened</t>
        </is>
      </c>
      <c r="E31" s="19">
        <f>SUMPRODUCT(($A$7:$A$26=1)*($C$7:$C$26="Bad")*(E7:E26))</f>
        <v/>
      </c>
      <c r="F31" s="19">
        <f>SUMPRODUCT(($A$7:$A$26=1)*($C$7:$C$26="Bad")*(F7:F26))</f>
        <v/>
      </c>
      <c r="G31" s="19">
        <f>SUMPRODUCT(($A$7:$A$26=1)*($C$7:$C$26="Bad")*(G7:G26))</f>
        <v/>
      </c>
      <c r="H31" s="19">
        <f>SUMPRODUCT(($A$7:$A$26=1)*($C$7:$C$26="Bad")*(H7:H26))</f>
        <v/>
      </c>
      <c r="I31" s="19">
        <f>SUMPRODUCT(($A$7:$A$26=1)*($C$7:$C$26="Bad")*(I7:I26))</f>
        <v/>
      </c>
      <c r="J31" s="19">
        <f>SUMPRODUCT(($A$7:$A$26=1)*($C$7:$C$26="Bad")*(J7:J26))</f>
        <v/>
      </c>
      <c r="K31" s="19">
        <f>SUMPRODUCT(($A$7:$A$26=1)*($C$7:$C$26="Bad")*(K7:K26))</f>
        <v/>
      </c>
      <c r="L31" s="19">
        <f>SUMPRODUCT(($A$7:$A$26=1)*($C$7:$C$26="Bad")*(L7:L26))</f>
        <v/>
      </c>
      <c r="M31" s="19">
        <f>SUMPRODUCT(($A$7:$A$26=1)*($C$7:$C$26="Bad")*(M7:M26))</f>
        <v/>
      </c>
      <c r="N31" s="19">
        <f>SUMPRODUCT(($A$7:$A$26=1)*($C$7:$C$26="Bad")*(N7:N26))</f>
        <v/>
      </c>
      <c r="O31" s="19">
        <f>SUMPRODUCT(($A$7:$A$26=1)*($C$7:$C$26="Bad")*(O7:O26))</f>
        <v/>
      </c>
      <c r="P31" s="19">
        <f>SUMPRODUCT(($A$7:$A$26=1)*($C$7:$C$26="Bad")*(P7:P26))</f>
        <v/>
      </c>
      <c r="Q31" s="19">
        <f>SUMPRODUCT(($A$7:$A$26=1)*($C$7:$C$26="Bad")*(Q7:Q26))</f>
        <v/>
      </c>
      <c r="R31" s="19">
        <f>SUMPRODUCT(($A$7:$A$26=1)*($C$7:$C$26="Bad")*(R7:R26))</f>
        <v/>
      </c>
      <c r="S31" s="19">
        <f>SUMPRODUCT(($A$7:$A$26=1)*($C$7:$C$26="Bad")*(S7:S26))</f>
        <v/>
      </c>
      <c r="T31" s="19">
        <f>SUMPRODUCT(($A$7:$A$26=1)*($C$7:$C$26="Bad")*(T7:T26))</f>
        <v/>
      </c>
      <c r="U31" s="19">
        <f>SUMPRODUCT(($A$7:$A$26=1)*($C$7:$C$26="Bad")*(U7:U26))</f>
        <v/>
      </c>
      <c r="V31" s="19">
        <f>SUMPRODUCT(($A$7:$A$26=1)*($C$7:$C$26="Bad")*(V7:V26))</f>
        <v/>
      </c>
      <c r="W31" s="19">
        <f>SUMPRODUCT(($A$7:$A$26=1)*($C$7:$C$26="Bad")*(W7:W26))</f>
        <v/>
      </c>
      <c r="X31" s="19">
        <f>SUMPRODUCT(($A$7:$A$26=1)*($C$7:$C$26="Bad")*(X7:X26))</f>
        <v/>
      </c>
      <c r="Y31" s="19">
        <f>SUMPRODUCT(($A$7:$A$26=1)*($C$7:$C$26="Bad")*(Y7:Y26))</f>
        <v/>
      </c>
      <c r="Z31" s="19">
        <f>SUMPRODUCT(($A$7:$A$26=1)*($C$7:$C$26="Bad")*(Z7:Z26))</f>
        <v/>
      </c>
      <c r="AA31" s="19">
        <f>SUMPRODUCT(($A$7:$A$26=1)*($C$7:$C$26="Bad")*(AA7:AA26))</f>
        <v/>
      </c>
      <c r="AB31" s="19">
        <f>SUMPRODUCT(($A$7:$A$26=1)*($C$7:$C$26="Bad")*(AB7:AB26))</f>
        <v/>
      </c>
      <c r="AC31" s="19">
        <f>SUMPRODUCT(($A$7:$A$26=1)*($C$7:$C$26="Bad")*(AC7:AC26))</f>
        <v/>
      </c>
      <c r="AD31" s="19">
        <f>SUMPRODUCT(($A$7:$A$26=1)*($C$7:$C$26="Bad")*(AD7:AD26))</f>
        <v/>
      </c>
      <c r="AE31" s="19">
        <f>SUMPRODUCT(($A$7:$A$26=1)*($C$7:$C$26="Bad")*(AE7:AE26))</f>
        <v/>
      </c>
      <c r="AF31" s="19">
        <f>SUMPRODUCT(($A$7:$A$26=1)*($C$7:$C$26="Bad")*(AF7:AF26))</f>
        <v/>
      </c>
      <c r="AG31" s="19">
        <f>SUMPRODUCT(($A$7:$A$26=1)*($C$7:$C$26="Bad")*(AG7:AG26))</f>
        <v/>
      </c>
      <c r="AH31" s="19">
        <f>SUMPRODUCT(($A$7:$A$26=1)*($C$7:$C$26="Bad")*(AH7:AH26))</f>
        <v/>
      </c>
      <c r="AI31" s="19">
        <f>SUMPRODUCT(($A$7:$A$26=1)*($C$7:$C$26="Bad")*(AI7:AI26))</f>
        <v/>
      </c>
      <c r="AL31" s="10" t="inlineStr">
        <is>
          <t>Good done</t>
        </is>
      </c>
      <c r="AM31" s="25">
        <f>SUMPRODUCT(($E$6:$AI$6&lt;=$B$3)*(E30:AI30))</f>
        <v/>
      </c>
    </row>
    <row r="32">
      <c r="A32" s="8" t="inlineStr">
        <is>
          <t>Net score</t>
        </is>
      </c>
      <c r="E32" s="19">
        <f>SUMPRODUCT(($A$7:$A$26=1)*($D$7:$D$26)*(E7:E26))</f>
        <v/>
      </c>
      <c r="F32" s="19">
        <f>SUMPRODUCT(($A$7:$A$26=1)*($D$7:$D$26)*(F7:F26))</f>
        <v/>
      </c>
      <c r="G32" s="19">
        <f>SUMPRODUCT(($A$7:$A$26=1)*($D$7:$D$26)*(G7:G26))</f>
        <v/>
      </c>
      <c r="H32" s="19">
        <f>SUMPRODUCT(($A$7:$A$26=1)*($D$7:$D$26)*(H7:H26))</f>
        <v/>
      </c>
      <c r="I32" s="19">
        <f>SUMPRODUCT(($A$7:$A$26=1)*($D$7:$D$26)*(I7:I26))</f>
        <v/>
      </c>
      <c r="J32" s="19">
        <f>SUMPRODUCT(($A$7:$A$26=1)*($D$7:$D$26)*(J7:J26))</f>
        <v/>
      </c>
      <c r="K32" s="19">
        <f>SUMPRODUCT(($A$7:$A$26=1)*($D$7:$D$26)*(K7:K26))</f>
        <v/>
      </c>
      <c r="L32" s="19">
        <f>SUMPRODUCT(($A$7:$A$26=1)*($D$7:$D$26)*(L7:L26))</f>
        <v/>
      </c>
      <c r="M32" s="19">
        <f>SUMPRODUCT(($A$7:$A$26=1)*($D$7:$D$26)*(M7:M26))</f>
        <v/>
      </c>
      <c r="N32" s="19">
        <f>SUMPRODUCT(($A$7:$A$26=1)*($D$7:$D$26)*(N7:N26))</f>
        <v/>
      </c>
      <c r="O32" s="19">
        <f>SUMPRODUCT(($A$7:$A$26=1)*($D$7:$D$26)*(O7:O26))</f>
        <v/>
      </c>
      <c r="P32" s="19">
        <f>SUMPRODUCT(($A$7:$A$26=1)*($D$7:$D$26)*(P7:P26))</f>
        <v/>
      </c>
      <c r="Q32" s="19">
        <f>SUMPRODUCT(($A$7:$A$26=1)*($D$7:$D$26)*(Q7:Q26))</f>
        <v/>
      </c>
      <c r="R32" s="19">
        <f>SUMPRODUCT(($A$7:$A$26=1)*($D$7:$D$26)*(R7:R26))</f>
        <v/>
      </c>
      <c r="S32" s="19">
        <f>SUMPRODUCT(($A$7:$A$26=1)*($D$7:$D$26)*(S7:S26))</f>
        <v/>
      </c>
      <c r="T32" s="19">
        <f>SUMPRODUCT(($A$7:$A$26=1)*($D$7:$D$26)*(T7:T26))</f>
        <v/>
      </c>
      <c r="U32" s="19">
        <f>SUMPRODUCT(($A$7:$A$26=1)*($D$7:$D$26)*(U7:U26))</f>
        <v/>
      </c>
      <c r="V32" s="19">
        <f>SUMPRODUCT(($A$7:$A$26=1)*($D$7:$D$26)*(V7:V26))</f>
        <v/>
      </c>
      <c r="W32" s="19">
        <f>SUMPRODUCT(($A$7:$A$26=1)*($D$7:$D$26)*(W7:W26))</f>
        <v/>
      </c>
      <c r="X32" s="19">
        <f>SUMPRODUCT(($A$7:$A$26=1)*($D$7:$D$26)*(X7:X26))</f>
        <v/>
      </c>
      <c r="Y32" s="19">
        <f>SUMPRODUCT(($A$7:$A$26=1)*($D$7:$D$26)*(Y7:Y26))</f>
        <v/>
      </c>
      <c r="Z32" s="19">
        <f>SUMPRODUCT(($A$7:$A$26=1)*($D$7:$D$26)*(Z7:Z26))</f>
        <v/>
      </c>
      <c r="AA32" s="19">
        <f>SUMPRODUCT(($A$7:$A$26=1)*($D$7:$D$26)*(AA7:AA26))</f>
        <v/>
      </c>
      <c r="AB32" s="19">
        <f>SUMPRODUCT(($A$7:$A$26=1)*($D$7:$D$26)*(AB7:AB26))</f>
        <v/>
      </c>
      <c r="AC32" s="19">
        <f>SUMPRODUCT(($A$7:$A$26=1)*($D$7:$D$26)*(AC7:AC26))</f>
        <v/>
      </c>
      <c r="AD32" s="19">
        <f>SUMPRODUCT(($A$7:$A$26=1)*($D$7:$D$26)*(AD7:AD26))</f>
        <v/>
      </c>
      <c r="AE32" s="19">
        <f>SUMPRODUCT(($A$7:$A$26=1)*($D$7:$D$26)*(AE7:AE26))</f>
        <v/>
      </c>
      <c r="AF32" s="19">
        <f>SUMPRODUCT(($A$7:$A$26=1)*($D$7:$D$26)*(AF7:AF26))</f>
        <v/>
      </c>
      <c r="AG32" s="19">
        <f>SUMPRODUCT(($A$7:$A$26=1)*($D$7:$D$26)*(AG7:AG26))</f>
        <v/>
      </c>
      <c r="AH32" s="19">
        <f>SUMPRODUCT(($A$7:$A$26=1)*($D$7:$D$26)*(AH7:AH26))</f>
        <v/>
      </c>
      <c r="AI32" s="19">
        <f>SUMPRODUCT(($A$7:$A$26=1)*($D$7:$D$26)*(AI7:AI26))</f>
        <v/>
      </c>
      <c r="AL32" s="10" t="inlineStr">
        <is>
          <t>Bad happened</t>
        </is>
      </c>
      <c r="AM32" s="25">
        <f>SUMPRODUCT(($E$6:$AI$6&lt;=$B$3)*(E31:AI31))</f>
        <v/>
      </c>
    </row>
    <row r="33">
      <c r="A33" s="8" t="inlineStr">
        <is>
          <t>Completion % (Good only)</t>
        </is>
      </c>
      <c r="E33" s="26">
        <f>IF(SUMPRODUCT(($A$7:$A$26=1)*($C$7:$C$26="Good"))=0,"",SUMPRODUCT(($A$7:$A$26=1)*($C$7:$C$26="Good")*(E7:E26))/SUMPRODUCT(($A$7:$A$26=1)*($C$7:$C$26="Good")))</f>
        <v/>
      </c>
      <c r="F33" s="26">
        <f>IF(SUMPRODUCT(($A$7:$A$26=1)*($C$7:$C$26="Good"))=0,"",SUMPRODUCT(($A$7:$A$26=1)*($C$7:$C$26="Good")*(F7:F26))/SUMPRODUCT(($A$7:$A$26=1)*($C$7:$C$26="Good")))</f>
        <v/>
      </c>
      <c r="G33" s="26">
        <f>IF(SUMPRODUCT(($A$7:$A$26=1)*($C$7:$C$26="Good"))=0,"",SUMPRODUCT(($A$7:$A$26=1)*($C$7:$C$26="Good")*(G7:G26))/SUMPRODUCT(($A$7:$A$26=1)*($C$7:$C$26="Good")))</f>
        <v/>
      </c>
      <c r="H33" s="26">
        <f>IF(SUMPRODUCT(($A$7:$A$26=1)*($C$7:$C$26="Good"))=0,"",SUMPRODUCT(($A$7:$A$26=1)*($C$7:$C$26="Good")*(H7:H26))/SUMPRODUCT(($A$7:$A$26=1)*($C$7:$C$26="Good")))</f>
        <v/>
      </c>
      <c r="I33" s="26">
        <f>IF(SUMPRODUCT(($A$7:$A$26=1)*($C$7:$C$26="Good"))=0,"",SUMPRODUCT(($A$7:$A$26=1)*($C$7:$C$26="Good")*(I7:I26))/SUMPRODUCT(($A$7:$A$26=1)*($C$7:$C$26="Good")))</f>
        <v/>
      </c>
      <c r="J33" s="26">
        <f>IF(SUMPRODUCT(($A$7:$A$26=1)*($C$7:$C$26="Good"))=0,"",SUMPRODUCT(($A$7:$A$26=1)*($C$7:$C$26="Good")*(J7:J26))/SUMPRODUCT(($A$7:$A$26=1)*($C$7:$C$26="Good")))</f>
        <v/>
      </c>
      <c r="K33" s="26">
        <f>IF(SUMPRODUCT(($A$7:$A$26=1)*($C$7:$C$26="Good"))=0,"",SUMPRODUCT(($A$7:$A$26=1)*($C$7:$C$26="Good")*(K7:K26))/SUMPRODUCT(($A$7:$A$26=1)*($C$7:$C$26="Good")))</f>
        <v/>
      </c>
      <c r="L33" s="26">
        <f>IF(SUMPRODUCT(($A$7:$A$26=1)*($C$7:$C$26="Good"))=0,"",SUMPRODUCT(($A$7:$A$26=1)*($C$7:$C$26="Good")*(L7:L26))/SUMPRODUCT(($A$7:$A$26=1)*($C$7:$C$26="Good")))</f>
        <v/>
      </c>
      <c r="M33" s="26">
        <f>IF(SUMPRODUCT(($A$7:$A$26=1)*($C$7:$C$26="Good"))=0,"",SUMPRODUCT(($A$7:$A$26=1)*($C$7:$C$26="Good")*(M7:M26))/SUMPRODUCT(($A$7:$A$26=1)*($C$7:$C$26="Good")))</f>
        <v/>
      </c>
      <c r="N33" s="26">
        <f>IF(SUMPRODUCT(($A$7:$A$26=1)*($C$7:$C$26="Good"))=0,"",SUMPRODUCT(($A$7:$A$26=1)*($C$7:$C$26="Good")*(N7:N26))/SUMPRODUCT(($A$7:$A$26=1)*($C$7:$C$26="Good")))</f>
        <v/>
      </c>
      <c r="O33" s="26">
        <f>IF(SUMPRODUCT(($A$7:$A$26=1)*($C$7:$C$26="Good"))=0,"",SUMPRODUCT(($A$7:$A$26=1)*($C$7:$C$26="Good")*(O7:O26))/SUMPRODUCT(($A$7:$A$26=1)*($C$7:$C$26="Good")))</f>
        <v/>
      </c>
      <c r="P33" s="26">
        <f>IF(SUMPRODUCT(($A$7:$A$26=1)*($C$7:$C$26="Good"))=0,"",SUMPRODUCT(($A$7:$A$26=1)*($C$7:$C$26="Good")*(P7:P26))/SUMPRODUCT(($A$7:$A$26=1)*($C$7:$C$26="Good")))</f>
        <v/>
      </c>
      <c r="Q33" s="26">
        <f>IF(SUMPRODUCT(($A$7:$A$26=1)*($C$7:$C$26="Good"))=0,"",SUMPRODUCT(($A$7:$A$26=1)*($C$7:$C$26="Good")*(Q7:Q26))/SUMPRODUCT(($A$7:$A$26=1)*($C$7:$C$26="Good")))</f>
        <v/>
      </c>
      <c r="R33" s="26">
        <f>IF(SUMPRODUCT(($A$7:$A$26=1)*($C$7:$C$26="Good"))=0,"",SUMPRODUCT(($A$7:$A$26=1)*($C$7:$C$26="Good")*(R7:R26))/SUMPRODUCT(($A$7:$A$26=1)*($C$7:$C$26="Good")))</f>
        <v/>
      </c>
      <c r="S33" s="26">
        <f>IF(SUMPRODUCT(($A$7:$A$26=1)*($C$7:$C$26="Good"))=0,"",SUMPRODUCT(($A$7:$A$26=1)*($C$7:$C$26="Good")*(S7:S26))/SUMPRODUCT(($A$7:$A$26=1)*($C$7:$C$26="Good")))</f>
        <v/>
      </c>
      <c r="T33" s="26">
        <f>IF(SUMPRODUCT(($A$7:$A$26=1)*($C$7:$C$26="Good"))=0,"",SUMPRODUCT(($A$7:$A$26=1)*($C$7:$C$26="Good")*(T7:T26))/SUMPRODUCT(($A$7:$A$26=1)*($C$7:$C$26="Good")))</f>
        <v/>
      </c>
      <c r="U33" s="26">
        <f>IF(SUMPRODUCT(($A$7:$A$26=1)*($C$7:$C$26="Good"))=0,"",SUMPRODUCT(($A$7:$A$26=1)*($C$7:$C$26="Good")*(U7:U26))/SUMPRODUCT(($A$7:$A$26=1)*($C$7:$C$26="Good")))</f>
        <v/>
      </c>
      <c r="V33" s="26">
        <f>IF(SUMPRODUCT(($A$7:$A$26=1)*($C$7:$C$26="Good"))=0,"",SUMPRODUCT(($A$7:$A$26=1)*($C$7:$C$26="Good")*(V7:V26))/SUMPRODUCT(($A$7:$A$26=1)*($C$7:$C$26="Good")))</f>
        <v/>
      </c>
      <c r="W33" s="26">
        <f>IF(SUMPRODUCT(($A$7:$A$26=1)*($C$7:$C$26="Good"))=0,"",SUMPRODUCT(($A$7:$A$26=1)*($C$7:$C$26="Good")*(W7:W26))/SUMPRODUCT(($A$7:$A$26=1)*($C$7:$C$26="Good")))</f>
        <v/>
      </c>
      <c r="X33" s="26">
        <f>IF(SUMPRODUCT(($A$7:$A$26=1)*($C$7:$C$26="Good"))=0,"",SUMPRODUCT(($A$7:$A$26=1)*($C$7:$C$26="Good")*(X7:X26))/SUMPRODUCT(($A$7:$A$26=1)*($C$7:$C$26="Good")))</f>
        <v/>
      </c>
      <c r="Y33" s="26">
        <f>IF(SUMPRODUCT(($A$7:$A$26=1)*($C$7:$C$26="Good"))=0,"",SUMPRODUCT(($A$7:$A$26=1)*($C$7:$C$26="Good")*(Y7:Y26))/SUMPRODUCT(($A$7:$A$26=1)*($C$7:$C$26="Good")))</f>
        <v/>
      </c>
      <c r="Z33" s="26">
        <f>IF(SUMPRODUCT(($A$7:$A$26=1)*($C$7:$C$26="Good"))=0,"",SUMPRODUCT(($A$7:$A$26=1)*($C$7:$C$26="Good")*(Z7:Z26))/SUMPRODUCT(($A$7:$A$26=1)*($C$7:$C$26="Good")))</f>
        <v/>
      </c>
      <c r="AA33" s="26">
        <f>IF(SUMPRODUCT(($A$7:$A$26=1)*($C$7:$C$26="Good"))=0,"",SUMPRODUCT(($A$7:$A$26=1)*($C$7:$C$26="Good")*(AA7:AA26))/SUMPRODUCT(($A$7:$A$26=1)*($C$7:$C$26="Good")))</f>
        <v/>
      </c>
      <c r="AB33" s="26">
        <f>IF(SUMPRODUCT(($A$7:$A$26=1)*($C$7:$C$26="Good"))=0,"",SUMPRODUCT(($A$7:$A$26=1)*($C$7:$C$26="Good")*(AB7:AB26))/SUMPRODUCT(($A$7:$A$26=1)*($C$7:$C$26="Good")))</f>
        <v/>
      </c>
      <c r="AC33" s="26">
        <f>IF(SUMPRODUCT(($A$7:$A$26=1)*($C$7:$C$26="Good"))=0,"",SUMPRODUCT(($A$7:$A$26=1)*($C$7:$C$26="Good")*(AC7:AC26))/SUMPRODUCT(($A$7:$A$26=1)*($C$7:$C$26="Good")))</f>
        <v/>
      </c>
      <c r="AD33" s="26">
        <f>IF(SUMPRODUCT(($A$7:$A$26=1)*($C$7:$C$26="Good"))=0,"",SUMPRODUCT(($A$7:$A$26=1)*($C$7:$C$26="Good")*(AD7:AD26))/SUMPRODUCT(($A$7:$A$26=1)*($C$7:$C$26="Good")))</f>
        <v/>
      </c>
      <c r="AE33" s="26">
        <f>IF(SUMPRODUCT(($A$7:$A$26=1)*($C$7:$C$26="Good"))=0,"",SUMPRODUCT(($A$7:$A$26=1)*($C$7:$C$26="Good")*(AE7:AE26))/SUMPRODUCT(($A$7:$A$26=1)*($C$7:$C$26="Good")))</f>
        <v/>
      </c>
      <c r="AF33" s="26">
        <f>IF(SUMPRODUCT(($A$7:$A$26=1)*($C$7:$C$26="Good"))=0,"",SUMPRODUCT(($A$7:$A$26=1)*($C$7:$C$26="Good")*(AF7:AF26))/SUMPRODUCT(($A$7:$A$26=1)*($C$7:$C$26="Good")))</f>
        <v/>
      </c>
      <c r="AG33" s="26">
        <f>IF(SUMPRODUCT(($A$7:$A$26=1)*($C$7:$C$26="Good"))=0,"",SUMPRODUCT(($A$7:$A$26=1)*($C$7:$C$26="Good")*(AG7:AG26))/SUMPRODUCT(($A$7:$A$26=1)*($C$7:$C$26="Good")))</f>
        <v/>
      </c>
      <c r="AH33" s="26">
        <f>IF(SUMPRODUCT(($A$7:$A$26=1)*($C$7:$C$26="Good"))=0,"",SUMPRODUCT(($A$7:$A$26=1)*($C$7:$C$26="Good")*(AH7:AH26))/SUMPRODUCT(($A$7:$A$26=1)*($C$7:$C$26="Good")))</f>
        <v/>
      </c>
      <c r="AI33" s="26">
        <f>IF(SUMPRODUCT(($A$7:$A$26=1)*($C$7:$C$26="Good"))=0,"",SUMPRODUCT(($A$7:$A$26=1)*($C$7:$C$26="Good")*(AI7:AI26))/SUMPRODUCT(($A$7:$A$26=1)*($C$7:$C$26="Good")))</f>
        <v/>
      </c>
      <c r="AL33" s="10" t="inlineStr">
        <is>
          <t>Net score</t>
        </is>
      </c>
      <c r="AM33" s="25">
        <f>SUMPRODUCT(($E$6:$AI$6&lt;=$B$3)*(E32:AI32))</f>
        <v/>
      </c>
    </row>
    <row r="34">
      <c r="AL34" s="10" t="inlineStr">
        <is>
          <t>Avg completion (Good)</t>
        </is>
      </c>
      <c r="AM34" s="27">
        <f>AVERAGEIF($E$6:$AI$6,"&lt;="&amp;$B$3,E33:AI33)</f>
        <v/>
      </c>
    </row>
  </sheetData>
  <mergeCells count="6">
    <mergeCell ref="A31:D31"/>
    <mergeCell ref="A1:AI1"/>
    <mergeCell ref="A30:D30"/>
    <mergeCell ref="A29:D29"/>
    <mergeCell ref="A33:D33"/>
    <mergeCell ref="A32:D32"/>
  </mergeCells>
  <conditionalFormatting sqref="E7:AI26">
    <cfRule type="expression" priority="1" dxfId="0">
      <formula>E7=1</formula>
    </cfRule>
  </conditionalFormatting>
  <conditionalFormatting sqref="E5:E33">
    <cfRule type="expression" priority="2" dxfId="1">
      <formula>E$6&gt;$B$3</formula>
    </cfRule>
  </conditionalFormatting>
  <conditionalFormatting sqref="F5:F33">
    <cfRule type="expression" priority="3" dxfId="1">
      <formula>F$6&gt;$B$3</formula>
    </cfRule>
  </conditionalFormatting>
  <conditionalFormatting sqref="G5:G33">
    <cfRule type="expression" priority="4" dxfId="1">
      <formula>G$6&gt;$B$3</formula>
    </cfRule>
  </conditionalFormatting>
  <conditionalFormatting sqref="H5:H33">
    <cfRule type="expression" priority="5" dxfId="1">
      <formula>H$6&gt;$B$3</formula>
    </cfRule>
  </conditionalFormatting>
  <conditionalFormatting sqref="I5:I33">
    <cfRule type="expression" priority="6" dxfId="1">
      <formula>I$6&gt;$B$3</formula>
    </cfRule>
  </conditionalFormatting>
  <conditionalFormatting sqref="J5:J33">
    <cfRule type="expression" priority="7" dxfId="1">
      <formula>J$6&gt;$B$3</formula>
    </cfRule>
  </conditionalFormatting>
  <conditionalFormatting sqref="K5:K33">
    <cfRule type="expression" priority="8" dxfId="1">
      <formula>K$6&gt;$B$3</formula>
    </cfRule>
  </conditionalFormatting>
  <conditionalFormatting sqref="L5:L33">
    <cfRule type="expression" priority="9" dxfId="1">
      <formula>L$6&gt;$B$3</formula>
    </cfRule>
  </conditionalFormatting>
  <conditionalFormatting sqref="M5:M33">
    <cfRule type="expression" priority="10" dxfId="1">
      <formula>M$6&gt;$B$3</formula>
    </cfRule>
  </conditionalFormatting>
  <conditionalFormatting sqref="N5:N33">
    <cfRule type="expression" priority="11" dxfId="1">
      <formula>N$6&gt;$B$3</formula>
    </cfRule>
  </conditionalFormatting>
  <conditionalFormatting sqref="O5:O33">
    <cfRule type="expression" priority="12" dxfId="1">
      <formula>O$6&gt;$B$3</formula>
    </cfRule>
  </conditionalFormatting>
  <conditionalFormatting sqref="P5:P33">
    <cfRule type="expression" priority="13" dxfId="1">
      <formula>P$6&gt;$B$3</formula>
    </cfRule>
  </conditionalFormatting>
  <conditionalFormatting sqref="Q5:Q33">
    <cfRule type="expression" priority="14" dxfId="1">
      <formula>Q$6&gt;$B$3</formula>
    </cfRule>
  </conditionalFormatting>
  <conditionalFormatting sqref="R5:R33">
    <cfRule type="expression" priority="15" dxfId="1">
      <formula>R$6&gt;$B$3</formula>
    </cfRule>
  </conditionalFormatting>
  <conditionalFormatting sqref="S5:S33">
    <cfRule type="expression" priority="16" dxfId="1">
      <formula>S$6&gt;$B$3</formula>
    </cfRule>
  </conditionalFormatting>
  <conditionalFormatting sqref="T5:T33">
    <cfRule type="expression" priority="17" dxfId="1">
      <formula>T$6&gt;$B$3</formula>
    </cfRule>
  </conditionalFormatting>
  <conditionalFormatting sqref="U5:U33">
    <cfRule type="expression" priority="18" dxfId="1">
      <formula>U$6&gt;$B$3</formula>
    </cfRule>
  </conditionalFormatting>
  <conditionalFormatting sqref="V5:V33">
    <cfRule type="expression" priority="19" dxfId="1">
      <formula>V$6&gt;$B$3</formula>
    </cfRule>
  </conditionalFormatting>
  <conditionalFormatting sqref="W5:W33">
    <cfRule type="expression" priority="20" dxfId="1">
      <formula>W$6&gt;$B$3</formula>
    </cfRule>
  </conditionalFormatting>
  <conditionalFormatting sqref="X5:X33">
    <cfRule type="expression" priority="21" dxfId="1">
      <formula>X$6&gt;$B$3</formula>
    </cfRule>
  </conditionalFormatting>
  <conditionalFormatting sqref="Y5:Y33">
    <cfRule type="expression" priority="22" dxfId="1">
      <formula>Y$6&gt;$B$3</formula>
    </cfRule>
  </conditionalFormatting>
  <conditionalFormatting sqref="Z5:Z33">
    <cfRule type="expression" priority="23" dxfId="1">
      <formula>Z$6&gt;$B$3</formula>
    </cfRule>
  </conditionalFormatting>
  <conditionalFormatting sqref="AA5:AA33">
    <cfRule type="expression" priority="24" dxfId="1">
      <formula>AA$6&gt;$B$3</formula>
    </cfRule>
  </conditionalFormatting>
  <conditionalFormatting sqref="AB5:AB33">
    <cfRule type="expression" priority="25" dxfId="1">
      <formula>AB$6&gt;$B$3</formula>
    </cfRule>
  </conditionalFormatting>
  <conditionalFormatting sqref="AC5:AC33">
    <cfRule type="expression" priority="26" dxfId="1">
      <formula>AC$6&gt;$B$3</formula>
    </cfRule>
  </conditionalFormatting>
  <conditionalFormatting sqref="AD5:AD33">
    <cfRule type="expression" priority="27" dxfId="1">
      <formula>AD$6&gt;$B$3</formula>
    </cfRule>
  </conditionalFormatting>
  <conditionalFormatting sqref="AE5:AE33">
    <cfRule type="expression" priority="28" dxfId="1">
      <formula>AE$6&gt;$B$3</formula>
    </cfRule>
  </conditionalFormatting>
  <conditionalFormatting sqref="AF5:AF33">
    <cfRule type="expression" priority="29" dxfId="1">
      <formula>AF$6&gt;$B$3</formula>
    </cfRule>
  </conditionalFormatting>
  <conditionalFormatting sqref="AG5:AG33">
    <cfRule type="expression" priority="30" dxfId="1">
      <formula>AG$6&gt;$B$3</formula>
    </cfRule>
  </conditionalFormatting>
  <conditionalFormatting sqref="AH5:AH33">
    <cfRule type="expression" priority="31" dxfId="1">
      <formula>AH$6&gt;$B$3</formula>
    </cfRule>
  </conditionalFormatting>
  <conditionalFormatting sqref="AI5:AI33">
    <cfRule type="expression" priority="32" dxfId="1">
      <formula>AI$6&gt;$B$3</formula>
    </cfRule>
  </conditionalFormatting>
  <dataValidations count="1">
    <dataValidation sqref="E7 E8 E9 E10 E11 E12 E13 E14 E15 E16 E17 E18 E19 E20 E21 E22 E23 E24 E25 E26 F7 F8 F9 F10 F11 F12 F13 F14 F15 F16 F17 F18 F19 F20 F21 F22 F23 F24 F25 F26 G7 G8 G9 G10 G11 G12 G13 G14 G15 G16 G17 G18 G19 G20 G21 G22 G23 G24 G25 G26 H7 H8 H9 H10 H11 H12 H13 H14 H15 H16 H17 H18 H19 H20 H21 H22 H23 H24 H25 H26 I7 I8 I9 I10 I11 I12 I13 I14 I15 I16 I17 I18 I19 I20 I21 I22 I23 I24 I25 I26 J7 J8 J9 J10 J11 J12 J13 J14 J15 J16 J17 J18 J19 J20 J21 J22 J23 J24 J25 J26 K7 K8 K9 K10 K11 K12 K13 K14 K15 K16 K17 K18 K19 K20 K21 K22 K23 K24 K25 K26 L7 L8 L9 L10 L11 L12 L13 L14 L15 L16 L17 L18 L19 L20 L21 L22 L23 L24 L25 L26 M7 M8 M9 M10 M11 M12 M13 M14 M15 M16 M17 M18 M19 M20 M21 M22 M23 M24 M25 M26 N7 N8 N9 N10 N11 N12 N13 N14 N15 N16 N17 N18 N19 N20 N21 N22 N23 N24 N25 N26 O7 O8 O9 O10 O11 O12 O13 O14 O15 O16 O17 O18 O19 O20 O21 O22 O23 O24 O25 O26 P7 P8 P9 P10 P11 P12 P13 P14 P15 P16 P17 P18 P19 P20 P21 P22 P23 P24 P25 P26 Q7 Q8 Q9 Q10 Q11 Q12 Q13 Q14 Q15 Q16 Q17 Q18 Q19 Q20 Q21 Q22 Q23 Q24 Q25 Q26 R7 R8 R9 R10 R11 R12 R13 R14 R15 R16 R17 R18 R19 R20 R21 R22 R23 R24 R25 R26 S7 S8 S9 S10 S11 S12 S13 S14 S15 S16 S17 S18 S19 S20 S21 S22 S23 S24 S25 S26 T7 T8 T9 T10 T11 T12 T13 T14 T15 T16 T17 T18 T19 T20 T21 T22 T23 T24 T25 T26 U7 U8 U9 U10 U11 U12 U13 U14 U15 U16 U17 U18 U19 U20 U21 U22 U23 U24 U25 U26 V7 V8 V9 V10 V11 V12 V13 V14 V15 V16 V17 V18 V19 V20 V21 V22 V23 V24 V25 V26 W7 W8 W9 W10 W11 W12 W13 W14 W15 W16 W17 W18 W19 W20 W21 W22 W23 W24 W25 W26 X7 X8 X9 X10 X11 X12 X13 X14 X15 X16 X17 X18 X19 X20 X21 X22 X23 X24 X25 X26 Y7 Y8 Y9 Y10 Y11 Y12 Y13 Y14 Y15 Y16 Y17 Y18 Y19 Y20 Y21 Y22 Y23 Y24 Y25 Y26 Z7 Z8 Z9 Z10 Z11 Z12 Z13 Z14 Z15 Z16 Z17 Z18 Z19 Z20 Z21 Z22 Z23 Z24 Z25 Z26 AA7 AA8 AA9 AA10 AA11 AA12 AA13 AA14 AA15 AA16 AA17 AA18 AA19 AA20 AA21 AA22 AA23 AA24 AA25 AA26 AB7 AB8 AB9 AB10 AB11 AB12 AB13 AB14 AB15 AB16 AB17 AB18 AB19 AB20 AB21 AB22 AB23 AB24 AB25 AB26 AC7 AC8 AC9 AC10 AC11 AC12 AC13 AC14 AC15 AC16 AC17 AC18 AC19 AC20 AC21 AC22 AC23 AC24 AC25 AC26 AD7 AD8 AD9 AD10 AD11 AD12 AD13 AD14 AD15 AD16 AD17 AD18 AD19 AD20 AD21 AD22 AD23 AD24 AD25 AD26 AE7 AE8 AE9 AE10 AE11 AE12 AE13 AE14 AE15 AE16 AE17 AE18 AE19 AE20 AE21 AE22 AE23 AE24 AE25 AE26 AF7 AF8 AF9 AF10 AF11 AF12 AF13 AF14 AF15 AF16 AF17 AF18 AF19 AF20 AF21 AF22 AF23 AF24 AF25 AF26 AG7 AG8 AG9 AG10 AG11 AG12 AG13 AG14 AG15 AG16 AG17 AG18 AG19 AG20 AG21 AG22 AG23 AG24 AG25 AG26 AH7 AH8 AH9 AH10 AH11 AH12 AH13 AH14 AH15 AH16 AH17 AH18 AH19 AH20 AH21 AH22 AH23 AH24 AH25 AH26 AI7 AI8 AI9 AI10 AI11 AI12 AI13 AI14 AI15 AI16 AI17 AI18 AI19 AI20 AI21 AI22 AI23 AI24 AI25 AI26" showDropDown="0" showInputMessage="0" showErrorMessage="0" allowBlank="1" type="list">
      <formula1>"0,1"</formula1>
    </dataValidation>
  </dataValidation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M3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0" customWidth="1" min="3" max="3"/>
    <col width="9"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7" customWidth="1" min="36" max="36"/>
    <col width="18" customWidth="1" min="38" max="38"/>
    <col width="12" customWidth="1" min="39" max="39"/>
  </cols>
  <sheetData>
    <row r="1">
      <c r="A1" s="15" t="inlineStr">
        <is>
          <t>Dec Habit Tracker</t>
        </is>
      </c>
    </row>
    <row r="2">
      <c r="A2" s="10" t="inlineStr">
        <is>
          <t>Year:</t>
        </is>
      </c>
      <c r="B2">
        <f>Setup!$B$3</f>
        <v/>
      </c>
      <c r="C2" s="10" t="inlineStr">
        <is>
          <t>Month:</t>
        </is>
      </c>
      <c r="D2" t="inlineStr">
        <is>
          <t>Dec</t>
        </is>
      </c>
    </row>
    <row r="3">
      <c r="A3" s="10" t="inlineStr">
        <is>
          <t>Days in month:</t>
        </is>
      </c>
      <c r="B3">
        <f>DAY(EOMONTH(DATE(Setup!$B$3,12,1),0))</f>
        <v/>
      </c>
    </row>
    <row r="5" ht="18" customHeight="1">
      <c r="E5" s="16">
        <f>TEXT(DATE(Setup!$B$3,12,1),"ddd")</f>
        <v/>
      </c>
      <c r="F5" s="16">
        <f>TEXT(DATE(Setup!$B$3,12,2),"ddd")</f>
        <v/>
      </c>
      <c r="G5" s="16">
        <f>TEXT(DATE(Setup!$B$3,12,3),"ddd")</f>
        <v/>
      </c>
      <c r="H5" s="16">
        <f>TEXT(DATE(Setup!$B$3,12,4),"ddd")</f>
        <v/>
      </c>
      <c r="I5" s="16">
        <f>TEXT(DATE(Setup!$B$3,12,5),"ddd")</f>
        <v/>
      </c>
      <c r="J5" s="16">
        <f>TEXT(DATE(Setup!$B$3,12,6),"ddd")</f>
        <v/>
      </c>
      <c r="K5" s="16">
        <f>TEXT(DATE(Setup!$B$3,12,7),"ddd")</f>
        <v/>
      </c>
      <c r="L5" s="16">
        <f>TEXT(DATE(Setup!$B$3,12,8),"ddd")</f>
        <v/>
      </c>
      <c r="M5" s="16">
        <f>TEXT(DATE(Setup!$B$3,12,9),"ddd")</f>
        <v/>
      </c>
      <c r="N5" s="16">
        <f>TEXT(DATE(Setup!$B$3,12,10),"ddd")</f>
        <v/>
      </c>
      <c r="O5" s="16">
        <f>TEXT(DATE(Setup!$B$3,12,11),"ddd")</f>
        <v/>
      </c>
      <c r="P5" s="16">
        <f>TEXT(DATE(Setup!$B$3,12,12),"ddd")</f>
        <v/>
      </c>
      <c r="Q5" s="16">
        <f>TEXT(DATE(Setup!$B$3,12,13),"ddd")</f>
        <v/>
      </c>
      <c r="R5" s="16">
        <f>TEXT(DATE(Setup!$B$3,12,14),"ddd")</f>
        <v/>
      </c>
      <c r="S5" s="16">
        <f>TEXT(DATE(Setup!$B$3,12,15),"ddd")</f>
        <v/>
      </c>
      <c r="T5" s="16">
        <f>TEXT(DATE(Setup!$B$3,12,16),"ddd")</f>
        <v/>
      </c>
      <c r="U5" s="16">
        <f>TEXT(DATE(Setup!$B$3,12,17),"ddd")</f>
        <v/>
      </c>
      <c r="V5" s="16">
        <f>TEXT(DATE(Setup!$B$3,12,18),"ddd")</f>
        <v/>
      </c>
      <c r="W5" s="16">
        <f>TEXT(DATE(Setup!$B$3,12,19),"ddd")</f>
        <v/>
      </c>
      <c r="X5" s="16">
        <f>TEXT(DATE(Setup!$B$3,12,20),"ddd")</f>
        <v/>
      </c>
      <c r="Y5" s="16">
        <f>TEXT(DATE(Setup!$B$3,12,21),"ddd")</f>
        <v/>
      </c>
      <c r="Z5" s="16">
        <f>TEXT(DATE(Setup!$B$3,12,22),"ddd")</f>
        <v/>
      </c>
      <c r="AA5" s="16">
        <f>TEXT(DATE(Setup!$B$3,12,23),"ddd")</f>
        <v/>
      </c>
      <c r="AB5" s="16">
        <f>TEXT(DATE(Setup!$B$3,12,24),"ddd")</f>
        <v/>
      </c>
      <c r="AC5" s="16">
        <f>TEXT(DATE(Setup!$B$3,12,25),"ddd")</f>
        <v/>
      </c>
      <c r="AD5" s="16">
        <f>TEXT(DATE(Setup!$B$3,12,26),"ddd")</f>
        <v/>
      </c>
      <c r="AE5" s="16">
        <f>TEXT(DATE(Setup!$B$3,12,27),"ddd")</f>
        <v/>
      </c>
      <c r="AF5" s="16">
        <f>TEXT(DATE(Setup!$B$3,12,28),"ddd")</f>
        <v/>
      </c>
      <c r="AG5" s="16">
        <f>TEXT(DATE(Setup!$B$3,12,29),"ddd")</f>
        <v/>
      </c>
      <c r="AH5" s="16">
        <f>TEXT(DATE(Setup!$B$3,12,30),"ddd")</f>
        <v/>
      </c>
      <c r="AI5" s="16">
        <f>TEXT(DATE(Setup!$B$3,12,31),"ddd")</f>
        <v/>
      </c>
    </row>
    <row r="6" ht="18" customHeight="1">
      <c r="A6" s="17" t="inlineStr">
        <is>
          <t>Active</t>
        </is>
      </c>
      <c r="B6" s="17" t="inlineStr">
        <is>
          <t>Habit</t>
        </is>
      </c>
      <c r="C6" s="17" t="inlineStr">
        <is>
          <t>Type</t>
        </is>
      </c>
      <c r="D6" s="17" t="inlineStr">
        <is>
          <t>Points</t>
        </is>
      </c>
      <c r="E6" s="18" t="n">
        <v>1</v>
      </c>
      <c r="F6" s="18" t="n">
        <v>2</v>
      </c>
      <c r="G6" s="18" t="n">
        <v>3</v>
      </c>
      <c r="H6" s="18" t="n">
        <v>4</v>
      </c>
      <c r="I6" s="18" t="n">
        <v>5</v>
      </c>
      <c r="J6" s="18" t="n">
        <v>6</v>
      </c>
      <c r="K6" s="18" t="n">
        <v>7</v>
      </c>
      <c r="L6" s="18" t="n">
        <v>8</v>
      </c>
      <c r="M6" s="18" t="n">
        <v>9</v>
      </c>
      <c r="N6" s="18" t="n">
        <v>10</v>
      </c>
      <c r="O6" s="18" t="n">
        <v>11</v>
      </c>
      <c r="P6" s="18" t="n">
        <v>12</v>
      </c>
      <c r="Q6" s="18" t="n">
        <v>13</v>
      </c>
      <c r="R6" s="18" t="n">
        <v>14</v>
      </c>
      <c r="S6" s="18" t="n">
        <v>15</v>
      </c>
      <c r="T6" s="18" t="n">
        <v>16</v>
      </c>
      <c r="U6" s="18" t="n">
        <v>17</v>
      </c>
      <c r="V6" s="18" t="n">
        <v>18</v>
      </c>
      <c r="W6" s="18" t="n">
        <v>19</v>
      </c>
      <c r="X6" s="18" t="n">
        <v>20</v>
      </c>
      <c r="Y6" s="18" t="n">
        <v>21</v>
      </c>
      <c r="Z6" s="18" t="n">
        <v>22</v>
      </c>
      <c r="AA6" s="18" t="n">
        <v>23</v>
      </c>
      <c r="AB6" s="18" t="n">
        <v>24</v>
      </c>
      <c r="AC6" s="18" t="n">
        <v>25</v>
      </c>
      <c r="AD6" s="18" t="n">
        <v>26</v>
      </c>
      <c r="AE6" s="18" t="n">
        <v>27</v>
      </c>
      <c r="AF6" s="18" t="n">
        <v>28</v>
      </c>
      <c r="AG6" s="18" t="n">
        <v>29</v>
      </c>
      <c r="AH6" s="18" t="n">
        <v>30</v>
      </c>
      <c r="AI6" s="18" t="n">
        <v>31</v>
      </c>
      <c r="AJ6" s="17" t="inlineStr">
        <is>
          <t>Total</t>
        </is>
      </c>
    </row>
    <row r="7">
      <c r="A7" s="19">
        <f>Setup!D9</f>
        <v/>
      </c>
      <c r="B7" s="20">
        <f>Setup!A9</f>
        <v/>
      </c>
      <c r="C7" s="19">
        <f>Setup!B9</f>
        <v/>
      </c>
      <c r="D7" s="19">
        <f>Setup!E9</f>
        <v/>
      </c>
      <c r="E7" s="21" t="inlineStr"/>
      <c r="F7" s="21" t="inlineStr"/>
      <c r="G7" s="21" t="inlineStr"/>
      <c r="H7" s="21" t="inlineStr"/>
      <c r="I7" s="21" t="inlineStr"/>
      <c r="J7" s="21" t="inlineStr"/>
      <c r="K7" s="21" t="inlineStr"/>
      <c r="L7" s="21" t="inlineStr"/>
      <c r="M7" s="21" t="inlineStr"/>
      <c r="N7" s="21" t="inlineStr"/>
      <c r="O7" s="21" t="inlineStr"/>
      <c r="P7" s="21" t="inlineStr"/>
      <c r="Q7" s="21" t="inlineStr"/>
      <c r="R7" s="21" t="inlineStr"/>
      <c r="S7" s="21" t="inlineStr"/>
      <c r="T7" s="21" t="inlineStr"/>
      <c r="U7" s="21" t="inlineStr"/>
      <c r="V7" s="21" t="inlineStr"/>
      <c r="W7" s="21" t="inlineStr"/>
      <c r="X7" s="21" t="inlineStr"/>
      <c r="Y7" s="21" t="inlineStr"/>
      <c r="Z7" s="21" t="inlineStr"/>
      <c r="AA7" s="21" t="inlineStr"/>
      <c r="AB7" s="21" t="inlineStr"/>
      <c r="AC7" s="21" t="inlineStr"/>
      <c r="AD7" s="21" t="inlineStr"/>
      <c r="AE7" s="21" t="inlineStr"/>
      <c r="AF7" s="21" t="inlineStr"/>
      <c r="AG7" s="21" t="inlineStr"/>
      <c r="AH7" s="21" t="inlineStr"/>
      <c r="AI7" s="21" t="inlineStr"/>
      <c r="AJ7" s="22">
        <f>IF($A7=1,SUMPRODUCT(($E$6:$AI$6&lt;=$B$3)*(E7:AI7)),"")</f>
        <v/>
      </c>
    </row>
    <row r="8">
      <c r="A8" s="19">
        <f>Setup!D10</f>
        <v/>
      </c>
      <c r="B8" s="20">
        <f>Setup!A10</f>
        <v/>
      </c>
      <c r="C8" s="19">
        <f>Setup!B10</f>
        <v/>
      </c>
      <c r="D8" s="19">
        <f>Setup!E10</f>
        <v/>
      </c>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2">
        <f>IF($A8=1,SUMPRODUCT(($E$6:$AI$6&lt;=$B$3)*(E8:AI8)),"")</f>
        <v/>
      </c>
    </row>
    <row r="9">
      <c r="A9" s="19">
        <f>Setup!D11</f>
        <v/>
      </c>
      <c r="B9" s="20">
        <f>Setup!A11</f>
        <v/>
      </c>
      <c r="C9" s="19">
        <f>Setup!B11</f>
        <v/>
      </c>
      <c r="D9" s="19">
        <f>Setup!E11</f>
        <v/>
      </c>
      <c r="E9" s="21" t="inlineStr"/>
      <c r="F9" s="21" t="inlineStr"/>
      <c r="G9" s="21" t="inlineStr"/>
      <c r="H9" s="21" t="inlineStr"/>
      <c r="I9" s="21" t="inlineStr"/>
      <c r="J9" s="21" t="inlineStr"/>
      <c r="K9" s="21" t="inlineStr"/>
      <c r="L9" s="21" t="inlineStr"/>
      <c r="M9" s="21" t="inlineStr"/>
      <c r="N9" s="21" t="inlineStr"/>
      <c r="O9" s="21" t="inlineStr"/>
      <c r="P9" s="21" t="inlineStr"/>
      <c r="Q9" s="21" t="inlineStr"/>
      <c r="R9" s="21" t="inlineStr"/>
      <c r="S9" s="21" t="inlineStr"/>
      <c r="T9" s="21" t="inlineStr"/>
      <c r="U9" s="21" t="inlineStr"/>
      <c r="V9" s="21" t="inlineStr"/>
      <c r="W9" s="21" t="inlineStr"/>
      <c r="X9" s="21" t="inlineStr"/>
      <c r="Y9" s="21" t="inlineStr"/>
      <c r="Z9" s="21" t="inlineStr"/>
      <c r="AA9" s="21" t="inlineStr"/>
      <c r="AB9" s="21" t="inlineStr"/>
      <c r="AC9" s="21" t="inlineStr"/>
      <c r="AD9" s="21" t="inlineStr"/>
      <c r="AE9" s="21" t="inlineStr"/>
      <c r="AF9" s="21" t="inlineStr"/>
      <c r="AG9" s="21" t="inlineStr"/>
      <c r="AH9" s="21" t="inlineStr"/>
      <c r="AI9" s="21" t="inlineStr"/>
      <c r="AJ9" s="22">
        <f>IF($A9=1,SUMPRODUCT(($E$6:$AI$6&lt;=$B$3)*(E9:AI9)),"")</f>
        <v/>
      </c>
    </row>
    <row r="10">
      <c r="A10" s="19">
        <f>Setup!D12</f>
        <v/>
      </c>
      <c r="B10" s="20">
        <f>Setup!A12</f>
        <v/>
      </c>
      <c r="C10" s="19">
        <f>Setup!B12</f>
        <v/>
      </c>
      <c r="D10" s="19">
        <f>Setup!E12</f>
        <v/>
      </c>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2">
        <f>IF($A10=1,SUMPRODUCT(($E$6:$AI$6&lt;=$B$3)*(E10:AI10)),"")</f>
        <v/>
      </c>
    </row>
    <row r="11">
      <c r="A11" s="19">
        <f>Setup!D13</f>
        <v/>
      </c>
      <c r="B11" s="20">
        <f>Setup!A13</f>
        <v/>
      </c>
      <c r="C11" s="19">
        <f>Setup!B13</f>
        <v/>
      </c>
      <c r="D11" s="19">
        <f>Setup!E13</f>
        <v/>
      </c>
      <c r="E11" s="21" t="inlineStr"/>
      <c r="F11" s="21" t="inlineStr"/>
      <c r="G11" s="21" t="inlineStr"/>
      <c r="H11" s="21" t="inlineStr"/>
      <c r="I11" s="21" t="inlineStr"/>
      <c r="J11" s="21" t="inlineStr"/>
      <c r="K11" s="21" t="inlineStr"/>
      <c r="L11" s="21" t="inlineStr"/>
      <c r="M11" s="21" t="inlineStr"/>
      <c r="N11" s="21" t="inlineStr"/>
      <c r="O11" s="21" t="inlineStr"/>
      <c r="P11" s="21" t="inlineStr"/>
      <c r="Q11" s="21" t="inlineStr"/>
      <c r="R11" s="21" t="inlineStr"/>
      <c r="S11" s="21" t="inlineStr"/>
      <c r="T11" s="21" t="inlineStr"/>
      <c r="U11" s="21" t="inlineStr"/>
      <c r="V11" s="21" t="inlineStr"/>
      <c r="W11" s="21" t="inlineStr"/>
      <c r="X11" s="21" t="inlineStr"/>
      <c r="Y11" s="21" t="inlineStr"/>
      <c r="Z11" s="21" t="inlineStr"/>
      <c r="AA11" s="21" t="inlineStr"/>
      <c r="AB11" s="21" t="inlineStr"/>
      <c r="AC11" s="21" t="inlineStr"/>
      <c r="AD11" s="21" t="inlineStr"/>
      <c r="AE11" s="21" t="inlineStr"/>
      <c r="AF11" s="21" t="inlineStr"/>
      <c r="AG11" s="21" t="inlineStr"/>
      <c r="AH11" s="21" t="inlineStr"/>
      <c r="AI11" s="21" t="inlineStr"/>
      <c r="AJ11" s="22">
        <f>IF($A11=1,SUMPRODUCT(($E$6:$AI$6&lt;=$B$3)*(E11:AI11)),"")</f>
        <v/>
      </c>
    </row>
    <row r="12">
      <c r="A12" s="19">
        <f>Setup!D14</f>
        <v/>
      </c>
      <c r="B12" s="20">
        <f>Setup!A14</f>
        <v/>
      </c>
      <c r="C12" s="19">
        <f>Setup!B14</f>
        <v/>
      </c>
      <c r="D12" s="19">
        <f>Setup!E14</f>
        <v/>
      </c>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2">
        <f>IF($A12=1,SUMPRODUCT(($E$6:$AI$6&lt;=$B$3)*(E12:AI12)),"")</f>
        <v/>
      </c>
    </row>
    <row r="13">
      <c r="A13" s="19">
        <f>Setup!D15</f>
        <v/>
      </c>
      <c r="B13" s="20">
        <f>Setup!A15</f>
        <v/>
      </c>
      <c r="C13" s="19">
        <f>Setup!B15</f>
        <v/>
      </c>
      <c r="D13" s="19">
        <f>Setup!E15</f>
        <v/>
      </c>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c r="U13" s="21" t="inlineStr"/>
      <c r="V13" s="21" t="inlineStr"/>
      <c r="W13" s="21" t="inlineStr"/>
      <c r="X13" s="21" t="inlineStr"/>
      <c r="Y13" s="21" t="inlineStr"/>
      <c r="Z13" s="21" t="inlineStr"/>
      <c r="AA13" s="21" t="inlineStr"/>
      <c r="AB13" s="21" t="inlineStr"/>
      <c r="AC13" s="21" t="inlineStr"/>
      <c r="AD13" s="21" t="inlineStr"/>
      <c r="AE13" s="21" t="inlineStr"/>
      <c r="AF13" s="21" t="inlineStr"/>
      <c r="AG13" s="21" t="inlineStr"/>
      <c r="AH13" s="21" t="inlineStr"/>
      <c r="AI13" s="21" t="inlineStr"/>
      <c r="AJ13" s="22">
        <f>IF($A13=1,SUMPRODUCT(($E$6:$AI$6&lt;=$B$3)*(E13:AI13)),"")</f>
        <v/>
      </c>
    </row>
    <row r="14">
      <c r="A14" s="19">
        <f>Setup!D16</f>
        <v/>
      </c>
      <c r="B14" s="20">
        <f>Setup!A16</f>
        <v/>
      </c>
      <c r="C14" s="19">
        <f>Setup!B16</f>
        <v/>
      </c>
      <c r="D14" s="19">
        <f>Setup!E16</f>
        <v/>
      </c>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2">
        <f>IF($A14=1,SUMPRODUCT(($E$6:$AI$6&lt;=$B$3)*(E14:AI14)),"")</f>
        <v/>
      </c>
    </row>
    <row r="15">
      <c r="A15" s="19">
        <f>Setup!D17</f>
        <v/>
      </c>
      <c r="B15" s="20">
        <f>Setup!A17</f>
        <v/>
      </c>
      <c r="C15" s="19">
        <f>Setup!B17</f>
        <v/>
      </c>
      <c r="D15" s="19">
        <f>Setup!E17</f>
        <v/>
      </c>
      <c r="E15" s="21" t="inlineStr"/>
      <c r="F15" s="21" t="inlineStr"/>
      <c r="G15" s="21" t="inlineStr"/>
      <c r="H15" s="21" t="inlineStr"/>
      <c r="I15" s="21" t="inlineStr"/>
      <c r="J15" s="21" t="inlineStr"/>
      <c r="K15" s="21" t="inlineStr"/>
      <c r="L15" s="21" t="inlineStr"/>
      <c r="M15" s="21" t="inlineStr"/>
      <c r="N15" s="21" t="inlineStr"/>
      <c r="O15" s="21" t="inlineStr"/>
      <c r="P15" s="21" t="inlineStr"/>
      <c r="Q15" s="21" t="inlineStr"/>
      <c r="R15" s="21" t="inlineStr"/>
      <c r="S15" s="21" t="inlineStr"/>
      <c r="T15" s="21" t="inlineStr"/>
      <c r="U15" s="21" t="inlineStr"/>
      <c r="V15" s="21" t="inlineStr"/>
      <c r="W15" s="21" t="inlineStr"/>
      <c r="X15" s="21" t="inlineStr"/>
      <c r="Y15" s="21" t="inlineStr"/>
      <c r="Z15" s="21" t="inlineStr"/>
      <c r="AA15" s="21" t="inlineStr"/>
      <c r="AB15" s="21" t="inlineStr"/>
      <c r="AC15" s="21" t="inlineStr"/>
      <c r="AD15" s="21" t="inlineStr"/>
      <c r="AE15" s="21" t="inlineStr"/>
      <c r="AF15" s="21" t="inlineStr"/>
      <c r="AG15" s="21" t="inlineStr"/>
      <c r="AH15" s="21" t="inlineStr"/>
      <c r="AI15" s="21" t="inlineStr"/>
      <c r="AJ15" s="22">
        <f>IF($A15=1,SUMPRODUCT(($E$6:$AI$6&lt;=$B$3)*(E15:AI15)),"")</f>
        <v/>
      </c>
    </row>
    <row r="16">
      <c r="A16" s="19">
        <f>Setup!D18</f>
        <v/>
      </c>
      <c r="B16" s="20">
        <f>Setup!A18</f>
        <v/>
      </c>
      <c r="C16" s="19">
        <f>Setup!B18</f>
        <v/>
      </c>
      <c r="D16" s="19">
        <f>Setup!E18</f>
        <v/>
      </c>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2">
        <f>IF($A16=1,SUMPRODUCT(($E$6:$AI$6&lt;=$B$3)*(E16:AI16)),"")</f>
        <v/>
      </c>
    </row>
    <row r="17">
      <c r="A17" s="19">
        <f>Setup!D19</f>
        <v/>
      </c>
      <c r="B17" s="20">
        <f>Setup!A19</f>
        <v/>
      </c>
      <c r="C17" s="19">
        <f>Setup!B19</f>
        <v/>
      </c>
      <c r="D17" s="19">
        <f>Setup!E19</f>
        <v/>
      </c>
      <c r="E17" s="21" t="inlineStr"/>
      <c r="F17" s="21" t="inlineStr"/>
      <c r="G17" s="21" t="inlineStr"/>
      <c r="H17" s="21" t="inlineStr"/>
      <c r="I17" s="21" t="inlineStr"/>
      <c r="J17" s="21" t="inlineStr"/>
      <c r="K17" s="21" t="inlineStr"/>
      <c r="L17" s="21" t="inlineStr"/>
      <c r="M17" s="21" t="inlineStr"/>
      <c r="N17" s="21" t="inlineStr"/>
      <c r="O17" s="21" t="inlineStr"/>
      <c r="P17" s="21" t="inlineStr"/>
      <c r="Q17" s="21" t="inlineStr"/>
      <c r="R17" s="21" t="inlineStr"/>
      <c r="S17" s="21" t="inlineStr"/>
      <c r="T17" s="21" t="inlineStr"/>
      <c r="U17" s="21" t="inlineStr"/>
      <c r="V17" s="21" t="inlineStr"/>
      <c r="W17" s="21" t="inlineStr"/>
      <c r="X17" s="21" t="inlineStr"/>
      <c r="Y17" s="21" t="inlineStr"/>
      <c r="Z17" s="21" t="inlineStr"/>
      <c r="AA17" s="21" t="inlineStr"/>
      <c r="AB17" s="21" t="inlineStr"/>
      <c r="AC17" s="21" t="inlineStr"/>
      <c r="AD17" s="21" t="inlineStr"/>
      <c r="AE17" s="21" t="inlineStr"/>
      <c r="AF17" s="21" t="inlineStr"/>
      <c r="AG17" s="21" t="inlineStr"/>
      <c r="AH17" s="21" t="inlineStr"/>
      <c r="AI17" s="21" t="inlineStr"/>
      <c r="AJ17" s="22">
        <f>IF($A17=1,SUMPRODUCT(($E$6:$AI$6&lt;=$B$3)*(E17:AI17)),"")</f>
        <v/>
      </c>
    </row>
    <row r="18">
      <c r="A18" s="19">
        <f>Setup!D20</f>
        <v/>
      </c>
      <c r="B18" s="20">
        <f>Setup!A20</f>
        <v/>
      </c>
      <c r="C18" s="19">
        <f>Setup!B20</f>
        <v/>
      </c>
      <c r="D18" s="19">
        <f>Setup!E20</f>
        <v/>
      </c>
      <c r="E18" s="21" t="inlineStr"/>
      <c r="F18" s="21" t="inlineStr"/>
      <c r="G18" s="21" t="inlineStr"/>
      <c r="H18" s="21" t="inlineStr"/>
      <c r="I18" s="21" t="inlineStr"/>
      <c r="J18" s="21" t="inlineStr"/>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2">
        <f>IF($A18=1,SUMPRODUCT(($E$6:$AI$6&lt;=$B$3)*(E18:AI18)),"")</f>
        <v/>
      </c>
    </row>
    <row r="19">
      <c r="A19" s="19">
        <f>Setup!D21</f>
        <v/>
      </c>
      <c r="B19" s="20">
        <f>Setup!A21</f>
        <v/>
      </c>
      <c r="C19" s="19">
        <f>Setup!B21</f>
        <v/>
      </c>
      <c r="D19" s="19">
        <f>Setup!E21</f>
        <v/>
      </c>
      <c r="E19" s="21" t="inlineStr"/>
      <c r="F19" s="21" t="inlineStr"/>
      <c r="G19" s="21" t="inlineStr"/>
      <c r="H19" s="21" t="inlineStr"/>
      <c r="I19" s="21" t="inlineStr"/>
      <c r="J19" s="21" t="inlineStr"/>
      <c r="K19" s="21" t="inlineStr"/>
      <c r="L19" s="21" t="inlineStr"/>
      <c r="M19" s="21" t="inlineStr"/>
      <c r="N19" s="21" t="inlineStr"/>
      <c r="O19" s="21" t="inlineStr"/>
      <c r="P19" s="21" t="inlineStr"/>
      <c r="Q19" s="21" t="inlineStr"/>
      <c r="R19" s="21" t="inlineStr"/>
      <c r="S19" s="21" t="inlineStr"/>
      <c r="T19" s="21" t="inlineStr"/>
      <c r="U19" s="21" t="inlineStr"/>
      <c r="V19" s="21" t="inlineStr"/>
      <c r="W19" s="21" t="inlineStr"/>
      <c r="X19" s="21" t="inlineStr"/>
      <c r="Y19" s="21" t="inlineStr"/>
      <c r="Z19" s="21" t="inlineStr"/>
      <c r="AA19" s="21" t="inlineStr"/>
      <c r="AB19" s="21" t="inlineStr"/>
      <c r="AC19" s="21" t="inlineStr"/>
      <c r="AD19" s="21" t="inlineStr"/>
      <c r="AE19" s="21" t="inlineStr"/>
      <c r="AF19" s="21" t="inlineStr"/>
      <c r="AG19" s="21" t="inlineStr"/>
      <c r="AH19" s="21" t="inlineStr"/>
      <c r="AI19" s="21" t="inlineStr"/>
      <c r="AJ19" s="22">
        <f>IF($A19=1,SUMPRODUCT(($E$6:$AI$6&lt;=$B$3)*(E19:AI19)),"")</f>
        <v/>
      </c>
    </row>
    <row r="20">
      <c r="A20" s="19">
        <f>Setup!D22</f>
        <v/>
      </c>
      <c r="B20" s="20">
        <f>Setup!A22</f>
        <v/>
      </c>
      <c r="C20" s="19">
        <f>Setup!B22</f>
        <v/>
      </c>
      <c r="D20" s="19">
        <f>Setup!E22</f>
        <v/>
      </c>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2">
        <f>IF($A20=1,SUMPRODUCT(($E$6:$AI$6&lt;=$B$3)*(E20:AI20)),"")</f>
        <v/>
      </c>
    </row>
    <row r="21">
      <c r="A21" s="19">
        <f>Setup!D23</f>
        <v/>
      </c>
      <c r="B21" s="20">
        <f>Setup!A23</f>
        <v/>
      </c>
      <c r="C21" s="19">
        <f>Setup!B23</f>
        <v/>
      </c>
      <c r="D21" s="19">
        <f>Setup!E23</f>
        <v/>
      </c>
      <c r="E21" s="21" t="inlineStr"/>
      <c r="F21" s="21" t="inlineStr"/>
      <c r="G21" s="21" t="inlineStr"/>
      <c r="H21" s="21" t="inlineStr"/>
      <c r="I21" s="21" t="inlineStr"/>
      <c r="J21" s="21" t="inlineStr"/>
      <c r="K21" s="21" t="inlineStr"/>
      <c r="L21" s="21" t="inlineStr"/>
      <c r="M21" s="21" t="inlineStr"/>
      <c r="N21" s="21" t="inlineStr"/>
      <c r="O21" s="21" t="inlineStr"/>
      <c r="P21" s="21" t="inlineStr"/>
      <c r="Q21" s="21" t="inlineStr"/>
      <c r="R21" s="21" t="inlineStr"/>
      <c r="S21" s="21" t="inlineStr"/>
      <c r="T21" s="21" t="inlineStr"/>
      <c r="U21" s="21" t="inlineStr"/>
      <c r="V21" s="21" t="inlineStr"/>
      <c r="W21" s="21" t="inlineStr"/>
      <c r="X21" s="21" t="inlineStr"/>
      <c r="Y21" s="21" t="inlineStr"/>
      <c r="Z21" s="21" t="inlineStr"/>
      <c r="AA21" s="21" t="inlineStr"/>
      <c r="AB21" s="21" t="inlineStr"/>
      <c r="AC21" s="21" t="inlineStr"/>
      <c r="AD21" s="21" t="inlineStr"/>
      <c r="AE21" s="21" t="inlineStr"/>
      <c r="AF21" s="21" t="inlineStr"/>
      <c r="AG21" s="21" t="inlineStr"/>
      <c r="AH21" s="21" t="inlineStr"/>
      <c r="AI21" s="21" t="inlineStr"/>
      <c r="AJ21" s="22">
        <f>IF($A21=1,SUMPRODUCT(($E$6:$AI$6&lt;=$B$3)*(E21:AI21)),"")</f>
        <v/>
      </c>
    </row>
    <row r="22">
      <c r="A22" s="19">
        <f>Setup!D24</f>
        <v/>
      </c>
      <c r="B22" s="20">
        <f>Setup!A24</f>
        <v/>
      </c>
      <c r="C22" s="19">
        <f>Setup!B24</f>
        <v/>
      </c>
      <c r="D22" s="19">
        <f>Setup!E24</f>
        <v/>
      </c>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c r="T22" s="21" t="inlineStr"/>
      <c r="U22" s="21" t="inlineStr"/>
      <c r="V22" s="21" t="inlineStr"/>
      <c r="W22" s="21" t="inlineStr"/>
      <c r="X22" s="21" t="inlineStr"/>
      <c r="Y22" s="21" t="inlineStr"/>
      <c r="Z22" s="21" t="inlineStr"/>
      <c r="AA22" s="21" t="inlineStr"/>
      <c r="AB22" s="21" t="inlineStr"/>
      <c r="AC22" s="21" t="inlineStr"/>
      <c r="AD22" s="21" t="inlineStr"/>
      <c r="AE22" s="21" t="inlineStr"/>
      <c r="AF22" s="21" t="inlineStr"/>
      <c r="AG22" s="21" t="inlineStr"/>
      <c r="AH22" s="21" t="inlineStr"/>
      <c r="AI22" s="21" t="inlineStr"/>
      <c r="AJ22" s="22">
        <f>IF($A22=1,SUMPRODUCT(($E$6:$AI$6&lt;=$B$3)*(E22:AI22)),"")</f>
        <v/>
      </c>
    </row>
    <row r="23">
      <c r="A23" s="19">
        <f>Setup!D25</f>
        <v/>
      </c>
      <c r="B23" s="20">
        <f>Setup!A25</f>
        <v/>
      </c>
      <c r="C23" s="19">
        <f>Setup!B25</f>
        <v/>
      </c>
      <c r="D23" s="19">
        <f>Setup!E25</f>
        <v/>
      </c>
      <c r="E23" s="21" t="inlineStr"/>
      <c r="F23" s="21" t="inlineStr"/>
      <c r="G23" s="21" t="inlineStr"/>
      <c r="H23" s="21" t="inlineStr"/>
      <c r="I23" s="21" t="inlineStr"/>
      <c r="J23" s="21" t="inlineStr"/>
      <c r="K23" s="21" t="inlineStr"/>
      <c r="L23" s="21" t="inlineStr"/>
      <c r="M23" s="21" t="inlineStr"/>
      <c r="N23" s="21" t="inlineStr"/>
      <c r="O23" s="21" t="inlineStr"/>
      <c r="P23" s="21" t="inlineStr"/>
      <c r="Q23" s="21" t="inlineStr"/>
      <c r="R23" s="21" t="inlineStr"/>
      <c r="S23" s="21" t="inlineStr"/>
      <c r="T23" s="21" t="inlineStr"/>
      <c r="U23" s="21" t="inlineStr"/>
      <c r="V23" s="21" t="inlineStr"/>
      <c r="W23" s="21" t="inlineStr"/>
      <c r="X23" s="21" t="inlineStr"/>
      <c r="Y23" s="21" t="inlineStr"/>
      <c r="Z23" s="21" t="inlineStr"/>
      <c r="AA23" s="21" t="inlineStr"/>
      <c r="AB23" s="21" t="inlineStr"/>
      <c r="AC23" s="21" t="inlineStr"/>
      <c r="AD23" s="21" t="inlineStr"/>
      <c r="AE23" s="21" t="inlineStr"/>
      <c r="AF23" s="21" t="inlineStr"/>
      <c r="AG23" s="21" t="inlineStr"/>
      <c r="AH23" s="21" t="inlineStr"/>
      <c r="AI23" s="21" t="inlineStr"/>
      <c r="AJ23" s="22">
        <f>IF($A23=1,SUMPRODUCT(($E$6:$AI$6&lt;=$B$3)*(E23:AI23)),"")</f>
        <v/>
      </c>
    </row>
    <row r="24">
      <c r="A24" s="19">
        <f>Setup!D26</f>
        <v/>
      </c>
      <c r="B24" s="20">
        <f>Setup!A26</f>
        <v/>
      </c>
      <c r="C24" s="19">
        <f>Setup!B26</f>
        <v/>
      </c>
      <c r="D24" s="19">
        <f>Setup!E26</f>
        <v/>
      </c>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c r="Y24" s="21" t="inlineStr"/>
      <c r="Z24" s="21" t="inlineStr"/>
      <c r="AA24" s="21" t="inlineStr"/>
      <c r="AB24" s="21" t="inlineStr"/>
      <c r="AC24" s="21" t="inlineStr"/>
      <c r="AD24" s="21" t="inlineStr"/>
      <c r="AE24" s="21" t="inlineStr"/>
      <c r="AF24" s="21" t="inlineStr"/>
      <c r="AG24" s="21" t="inlineStr"/>
      <c r="AH24" s="21" t="inlineStr"/>
      <c r="AI24" s="21" t="inlineStr"/>
      <c r="AJ24" s="22">
        <f>IF($A24=1,SUMPRODUCT(($E$6:$AI$6&lt;=$B$3)*(E24:AI24)),"")</f>
        <v/>
      </c>
    </row>
    <row r="25">
      <c r="A25" s="19">
        <f>Setup!D27</f>
        <v/>
      </c>
      <c r="B25" s="20">
        <f>Setup!A27</f>
        <v/>
      </c>
      <c r="C25" s="19">
        <f>Setup!B27</f>
        <v/>
      </c>
      <c r="D25" s="19">
        <f>Setup!E27</f>
        <v/>
      </c>
      <c r="E25" s="21" t="inlineStr"/>
      <c r="F25" s="21" t="inlineStr"/>
      <c r="G25" s="21" t="inlineStr"/>
      <c r="H25" s="21" t="inlineStr"/>
      <c r="I25" s="21" t="inlineStr"/>
      <c r="J25" s="21" t="inlineStr"/>
      <c r="K25" s="21" t="inlineStr"/>
      <c r="L25" s="21" t="inlineStr"/>
      <c r="M25" s="21" t="inlineStr"/>
      <c r="N25" s="21" t="inlineStr"/>
      <c r="O25" s="21" t="inlineStr"/>
      <c r="P25" s="21" t="inlineStr"/>
      <c r="Q25" s="21" t="inlineStr"/>
      <c r="R25" s="21" t="inlineStr"/>
      <c r="S25" s="21" t="inlineStr"/>
      <c r="T25" s="21" t="inlineStr"/>
      <c r="U25" s="21" t="inlineStr"/>
      <c r="V25" s="21" t="inlineStr"/>
      <c r="W25" s="21" t="inlineStr"/>
      <c r="X25" s="21" t="inlineStr"/>
      <c r="Y25" s="21" t="inlineStr"/>
      <c r="Z25" s="21" t="inlineStr"/>
      <c r="AA25" s="21" t="inlineStr"/>
      <c r="AB25" s="21" t="inlineStr"/>
      <c r="AC25" s="21" t="inlineStr"/>
      <c r="AD25" s="21" t="inlineStr"/>
      <c r="AE25" s="21" t="inlineStr"/>
      <c r="AF25" s="21" t="inlineStr"/>
      <c r="AG25" s="21" t="inlineStr"/>
      <c r="AH25" s="21" t="inlineStr"/>
      <c r="AI25" s="21" t="inlineStr"/>
      <c r="AJ25" s="22">
        <f>IF($A25=1,SUMPRODUCT(($E$6:$AI$6&lt;=$B$3)*(E25:AI25)),"")</f>
        <v/>
      </c>
    </row>
    <row r="26">
      <c r="A26" s="19">
        <f>Setup!D28</f>
        <v/>
      </c>
      <c r="B26" s="20">
        <f>Setup!A28</f>
        <v/>
      </c>
      <c r="C26" s="19">
        <f>Setup!B28</f>
        <v/>
      </c>
      <c r="D26" s="19">
        <f>Setup!E28</f>
        <v/>
      </c>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2">
        <f>IF($A26=1,SUMPRODUCT(($E$6:$AI$6&lt;=$B$3)*(E26:AI26)),"")</f>
        <v/>
      </c>
    </row>
    <row r="29">
      <c r="A29" s="23" t="inlineStr">
        <is>
          <t>Daily summary</t>
        </is>
      </c>
    </row>
    <row r="30">
      <c r="A30" s="8" t="inlineStr">
        <is>
          <t>Good habits done</t>
        </is>
      </c>
      <c r="E30" s="19">
        <f>SUMPRODUCT(($A$7:$A$26=1)*($C$7:$C$26="Good")*(E7:E26))</f>
        <v/>
      </c>
      <c r="F30" s="19">
        <f>SUMPRODUCT(($A$7:$A$26=1)*($C$7:$C$26="Good")*(F7:F26))</f>
        <v/>
      </c>
      <c r="G30" s="19">
        <f>SUMPRODUCT(($A$7:$A$26=1)*($C$7:$C$26="Good")*(G7:G26))</f>
        <v/>
      </c>
      <c r="H30" s="19">
        <f>SUMPRODUCT(($A$7:$A$26=1)*($C$7:$C$26="Good")*(H7:H26))</f>
        <v/>
      </c>
      <c r="I30" s="19">
        <f>SUMPRODUCT(($A$7:$A$26=1)*($C$7:$C$26="Good")*(I7:I26))</f>
        <v/>
      </c>
      <c r="J30" s="19">
        <f>SUMPRODUCT(($A$7:$A$26=1)*($C$7:$C$26="Good")*(J7:J26))</f>
        <v/>
      </c>
      <c r="K30" s="19">
        <f>SUMPRODUCT(($A$7:$A$26=1)*($C$7:$C$26="Good")*(K7:K26))</f>
        <v/>
      </c>
      <c r="L30" s="19">
        <f>SUMPRODUCT(($A$7:$A$26=1)*($C$7:$C$26="Good")*(L7:L26))</f>
        <v/>
      </c>
      <c r="M30" s="19">
        <f>SUMPRODUCT(($A$7:$A$26=1)*($C$7:$C$26="Good")*(M7:M26))</f>
        <v/>
      </c>
      <c r="N30" s="19">
        <f>SUMPRODUCT(($A$7:$A$26=1)*($C$7:$C$26="Good")*(N7:N26))</f>
        <v/>
      </c>
      <c r="O30" s="19">
        <f>SUMPRODUCT(($A$7:$A$26=1)*($C$7:$C$26="Good")*(O7:O26))</f>
        <v/>
      </c>
      <c r="P30" s="19">
        <f>SUMPRODUCT(($A$7:$A$26=1)*($C$7:$C$26="Good")*(P7:P26))</f>
        <v/>
      </c>
      <c r="Q30" s="19">
        <f>SUMPRODUCT(($A$7:$A$26=1)*($C$7:$C$26="Good")*(Q7:Q26))</f>
        <v/>
      </c>
      <c r="R30" s="19">
        <f>SUMPRODUCT(($A$7:$A$26=1)*($C$7:$C$26="Good")*(R7:R26))</f>
        <v/>
      </c>
      <c r="S30" s="19">
        <f>SUMPRODUCT(($A$7:$A$26=1)*($C$7:$C$26="Good")*(S7:S26))</f>
        <v/>
      </c>
      <c r="T30" s="19">
        <f>SUMPRODUCT(($A$7:$A$26=1)*($C$7:$C$26="Good")*(T7:T26))</f>
        <v/>
      </c>
      <c r="U30" s="19">
        <f>SUMPRODUCT(($A$7:$A$26=1)*($C$7:$C$26="Good")*(U7:U26))</f>
        <v/>
      </c>
      <c r="V30" s="19">
        <f>SUMPRODUCT(($A$7:$A$26=1)*($C$7:$C$26="Good")*(V7:V26))</f>
        <v/>
      </c>
      <c r="W30" s="19">
        <f>SUMPRODUCT(($A$7:$A$26=1)*($C$7:$C$26="Good")*(W7:W26))</f>
        <v/>
      </c>
      <c r="X30" s="19">
        <f>SUMPRODUCT(($A$7:$A$26=1)*($C$7:$C$26="Good")*(X7:X26))</f>
        <v/>
      </c>
      <c r="Y30" s="19">
        <f>SUMPRODUCT(($A$7:$A$26=1)*($C$7:$C$26="Good")*(Y7:Y26))</f>
        <v/>
      </c>
      <c r="Z30" s="19">
        <f>SUMPRODUCT(($A$7:$A$26=1)*($C$7:$C$26="Good")*(Z7:Z26))</f>
        <v/>
      </c>
      <c r="AA30" s="19">
        <f>SUMPRODUCT(($A$7:$A$26=1)*($C$7:$C$26="Good")*(AA7:AA26))</f>
        <v/>
      </c>
      <c r="AB30" s="19">
        <f>SUMPRODUCT(($A$7:$A$26=1)*($C$7:$C$26="Good")*(AB7:AB26))</f>
        <v/>
      </c>
      <c r="AC30" s="19">
        <f>SUMPRODUCT(($A$7:$A$26=1)*($C$7:$C$26="Good")*(AC7:AC26))</f>
        <v/>
      </c>
      <c r="AD30" s="19">
        <f>SUMPRODUCT(($A$7:$A$26=1)*($C$7:$C$26="Good")*(AD7:AD26))</f>
        <v/>
      </c>
      <c r="AE30" s="19">
        <f>SUMPRODUCT(($A$7:$A$26=1)*($C$7:$C$26="Good")*(AE7:AE26))</f>
        <v/>
      </c>
      <c r="AF30" s="19">
        <f>SUMPRODUCT(($A$7:$A$26=1)*($C$7:$C$26="Good")*(AF7:AF26))</f>
        <v/>
      </c>
      <c r="AG30" s="19">
        <f>SUMPRODUCT(($A$7:$A$26=1)*($C$7:$C$26="Good")*(AG7:AG26))</f>
        <v/>
      </c>
      <c r="AH30" s="19">
        <f>SUMPRODUCT(($A$7:$A$26=1)*($C$7:$C$26="Good")*(AH7:AH26))</f>
        <v/>
      </c>
      <c r="AI30" s="19">
        <f>SUMPRODUCT(($A$7:$A$26=1)*($C$7:$C$26="Good")*(AI7:AI26))</f>
        <v/>
      </c>
      <c r="AL30" s="24" t="inlineStr">
        <is>
          <t>Monthly totals</t>
        </is>
      </c>
    </row>
    <row r="31">
      <c r="A31" s="8" t="inlineStr">
        <is>
          <t>Bad habits happened</t>
        </is>
      </c>
      <c r="E31" s="19">
        <f>SUMPRODUCT(($A$7:$A$26=1)*($C$7:$C$26="Bad")*(E7:E26))</f>
        <v/>
      </c>
      <c r="F31" s="19">
        <f>SUMPRODUCT(($A$7:$A$26=1)*($C$7:$C$26="Bad")*(F7:F26))</f>
        <v/>
      </c>
      <c r="G31" s="19">
        <f>SUMPRODUCT(($A$7:$A$26=1)*($C$7:$C$26="Bad")*(G7:G26))</f>
        <v/>
      </c>
      <c r="H31" s="19">
        <f>SUMPRODUCT(($A$7:$A$26=1)*($C$7:$C$26="Bad")*(H7:H26))</f>
        <v/>
      </c>
      <c r="I31" s="19">
        <f>SUMPRODUCT(($A$7:$A$26=1)*($C$7:$C$26="Bad")*(I7:I26))</f>
        <v/>
      </c>
      <c r="J31" s="19">
        <f>SUMPRODUCT(($A$7:$A$26=1)*($C$7:$C$26="Bad")*(J7:J26))</f>
        <v/>
      </c>
      <c r="K31" s="19">
        <f>SUMPRODUCT(($A$7:$A$26=1)*($C$7:$C$26="Bad")*(K7:K26))</f>
        <v/>
      </c>
      <c r="L31" s="19">
        <f>SUMPRODUCT(($A$7:$A$26=1)*($C$7:$C$26="Bad")*(L7:L26))</f>
        <v/>
      </c>
      <c r="M31" s="19">
        <f>SUMPRODUCT(($A$7:$A$26=1)*($C$7:$C$26="Bad")*(M7:M26))</f>
        <v/>
      </c>
      <c r="N31" s="19">
        <f>SUMPRODUCT(($A$7:$A$26=1)*($C$7:$C$26="Bad")*(N7:N26))</f>
        <v/>
      </c>
      <c r="O31" s="19">
        <f>SUMPRODUCT(($A$7:$A$26=1)*($C$7:$C$26="Bad")*(O7:O26))</f>
        <v/>
      </c>
      <c r="P31" s="19">
        <f>SUMPRODUCT(($A$7:$A$26=1)*($C$7:$C$26="Bad")*(P7:P26))</f>
        <v/>
      </c>
      <c r="Q31" s="19">
        <f>SUMPRODUCT(($A$7:$A$26=1)*($C$7:$C$26="Bad")*(Q7:Q26))</f>
        <v/>
      </c>
      <c r="R31" s="19">
        <f>SUMPRODUCT(($A$7:$A$26=1)*($C$7:$C$26="Bad")*(R7:R26))</f>
        <v/>
      </c>
      <c r="S31" s="19">
        <f>SUMPRODUCT(($A$7:$A$26=1)*($C$7:$C$26="Bad")*(S7:S26))</f>
        <v/>
      </c>
      <c r="T31" s="19">
        <f>SUMPRODUCT(($A$7:$A$26=1)*($C$7:$C$26="Bad")*(T7:T26))</f>
        <v/>
      </c>
      <c r="U31" s="19">
        <f>SUMPRODUCT(($A$7:$A$26=1)*($C$7:$C$26="Bad")*(U7:U26))</f>
        <v/>
      </c>
      <c r="V31" s="19">
        <f>SUMPRODUCT(($A$7:$A$26=1)*($C$7:$C$26="Bad")*(V7:V26))</f>
        <v/>
      </c>
      <c r="W31" s="19">
        <f>SUMPRODUCT(($A$7:$A$26=1)*($C$7:$C$26="Bad")*(W7:W26))</f>
        <v/>
      </c>
      <c r="X31" s="19">
        <f>SUMPRODUCT(($A$7:$A$26=1)*($C$7:$C$26="Bad")*(X7:X26))</f>
        <v/>
      </c>
      <c r="Y31" s="19">
        <f>SUMPRODUCT(($A$7:$A$26=1)*($C$7:$C$26="Bad")*(Y7:Y26))</f>
        <v/>
      </c>
      <c r="Z31" s="19">
        <f>SUMPRODUCT(($A$7:$A$26=1)*($C$7:$C$26="Bad")*(Z7:Z26))</f>
        <v/>
      </c>
      <c r="AA31" s="19">
        <f>SUMPRODUCT(($A$7:$A$26=1)*($C$7:$C$26="Bad")*(AA7:AA26))</f>
        <v/>
      </c>
      <c r="AB31" s="19">
        <f>SUMPRODUCT(($A$7:$A$26=1)*($C$7:$C$26="Bad")*(AB7:AB26))</f>
        <v/>
      </c>
      <c r="AC31" s="19">
        <f>SUMPRODUCT(($A$7:$A$26=1)*($C$7:$C$26="Bad")*(AC7:AC26))</f>
        <v/>
      </c>
      <c r="AD31" s="19">
        <f>SUMPRODUCT(($A$7:$A$26=1)*($C$7:$C$26="Bad")*(AD7:AD26))</f>
        <v/>
      </c>
      <c r="AE31" s="19">
        <f>SUMPRODUCT(($A$7:$A$26=1)*($C$7:$C$26="Bad")*(AE7:AE26))</f>
        <v/>
      </c>
      <c r="AF31" s="19">
        <f>SUMPRODUCT(($A$7:$A$26=1)*($C$7:$C$26="Bad")*(AF7:AF26))</f>
        <v/>
      </c>
      <c r="AG31" s="19">
        <f>SUMPRODUCT(($A$7:$A$26=1)*($C$7:$C$26="Bad")*(AG7:AG26))</f>
        <v/>
      </c>
      <c r="AH31" s="19">
        <f>SUMPRODUCT(($A$7:$A$26=1)*($C$7:$C$26="Bad")*(AH7:AH26))</f>
        <v/>
      </c>
      <c r="AI31" s="19">
        <f>SUMPRODUCT(($A$7:$A$26=1)*($C$7:$C$26="Bad")*(AI7:AI26))</f>
        <v/>
      </c>
      <c r="AL31" s="10" t="inlineStr">
        <is>
          <t>Good done</t>
        </is>
      </c>
      <c r="AM31" s="25">
        <f>SUMPRODUCT(($E$6:$AI$6&lt;=$B$3)*(E30:AI30))</f>
        <v/>
      </c>
    </row>
    <row r="32">
      <c r="A32" s="8" t="inlineStr">
        <is>
          <t>Net score</t>
        </is>
      </c>
      <c r="E32" s="19">
        <f>SUMPRODUCT(($A$7:$A$26=1)*($D$7:$D$26)*(E7:E26))</f>
        <v/>
      </c>
      <c r="F32" s="19">
        <f>SUMPRODUCT(($A$7:$A$26=1)*($D$7:$D$26)*(F7:F26))</f>
        <v/>
      </c>
      <c r="G32" s="19">
        <f>SUMPRODUCT(($A$7:$A$26=1)*($D$7:$D$26)*(G7:G26))</f>
        <v/>
      </c>
      <c r="H32" s="19">
        <f>SUMPRODUCT(($A$7:$A$26=1)*($D$7:$D$26)*(H7:H26))</f>
        <v/>
      </c>
      <c r="I32" s="19">
        <f>SUMPRODUCT(($A$7:$A$26=1)*($D$7:$D$26)*(I7:I26))</f>
        <v/>
      </c>
      <c r="J32" s="19">
        <f>SUMPRODUCT(($A$7:$A$26=1)*($D$7:$D$26)*(J7:J26))</f>
        <v/>
      </c>
      <c r="K32" s="19">
        <f>SUMPRODUCT(($A$7:$A$26=1)*($D$7:$D$26)*(K7:K26))</f>
        <v/>
      </c>
      <c r="L32" s="19">
        <f>SUMPRODUCT(($A$7:$A$26=1)*($D$7:$D$26)*(L7:L26))</f>
        <v/>
      </c>
      <c r="M32" s="19">
        <f>SUMPRODUCT(($A$7:$A$26=1)*($D$7:$D$26)*(M7:M26))</f>
        <v/>
      </c>
      <c r="N32" s="19">
        <f>SUMPRODUCT(($A$7:$A$26=1)*($D$7:$D$26)*(N7:N26))</f>
        <v/>
      </c>
      <c r="O32" s="19">
        <f>SUMPRODUCT(($A$7:$A$26=1)*($D$7:$D$26)*(O7:O26))</f>
        <v/>
      </c>
      <c r="P32" s="19">
        <f>SUMPRODUCT(($A$7:$A$26=1)*($D$7:$D$26)*(P7:P26))</f>
        <v/>
      </c>
      <c r="Q32" s="19">
        <f>SUMPRODUCT(($A$7:$A$26=1)*($D$7:$D$26)*(Q7:Q26))</f>
        <v/>
      </c>
      <c r="R32" s="19">
        <f>SUMPRODUCT(($A$7:$A$26=1)*($D$7:$D$26)*(R7:R26))</f>
        <v/>
      </c>
      <c r="S32" s="19">
        <f>SUMPRODUCT(($A$7:$A$26=1)*($D$7:$D$26)*(S7:S26))</f>
        <v/>
      </c>
      <c r="T32" s="19">
        <f>SUMPRODUCT(($A$7:$A$26=1)*($D$7:$D$26)*(T7:T26))</f>
        <v/>
      </c>
      <c r="U32" s="19">
        <f>SUMPRODUCT(($A$7:$A$26=1)*($D$7:$D$26)*(U7:U26))</f>
        <v/>
      </c>
      <c r="V32" s="19">
        <f>SUMPRODUCT(($A$7:$A$26=1)*($D$7:$D$26)*(V7:V26))</f>
        <v/>
      </c>
      <c r="W32" s="19">
        <f>SUMPRODUCT(($A$7:$A$26=1)*($D$7:$D$26)*(W7:W26))</f>
        <v/>
      </c>
      <c r="X32" s="19">
        <f>SUMPRODUCT(($A$7:$A$26=1)*($D$7:$D$26)*(X7:X26))</f>
        <v/>
      </c>
      <c r="Y32" s="19">
        <f>SUMPRODUCT(($A$7:$A$26=1)*($D$7:$D$26)*(Y7:Y26))</f>
        <v/>
      </c>
      <c r="Z32" s="19">
        <f>SUMPRODUCT(($A$7:$A$26=1)*($D$7:$D$26)*(Z7:Z26))</f>
        <v/>
      </c>
      <c r="AA32" s="19">
        <f>SUMPRODUCT(($A$7:$A$26=1)*($D$7:$D$26)*(AA7:AA26))</f>
        <v/>
      </c>
      <c r="AB32" s="19">
        <f>SUMPRODUCT(($A$7:$A$26=1)*($D$7:$D$26)*(AB7:AB26))</f>
        <v/>
      </c>
      <c r="AC32" s="19">
        <f>SUMPRODUCT(($A$7:$A$26=1)*($D$7:$D$26)*(AC7:AC26))</f>
        <v/>
      </c>
      <c r="AD32" s="19">
        <f>SUMPRODUCT(($A$7:$A$26=1)*($D$7:$D$26)*(AD7:AD26))</f>
        <v/>
      </c>
      <c r="AE32" s="19">
        <f>SUMPRODUCT(($A$7:$A$26=1)*($D$7:$D$26)*(AE7:AE26))</f>
        <v/>
      </c>
      <c r="AF32" s="19">
        <f>SUMPRODUCT(($A$7:$A$26=1)*($D$7:$D$26)*(AF7:AF26))</f>
        <v/>
      </c>
      <c r="AG32" s="19">
        <f>SUMPRODUCT(($A$7:$A$26=1)*($D$7:$D$26)*(AG7:AG26))</f>
        <v/>
      </c>
      <c r="AH32" s="19">
        <f>SUMPRODUCT(($A$7:$A$26=1)*($D$7:$D$26)*(AH7:AH26))</f>
        <v/>
      </c>
      <c r="AI32" s="19">
        <f>SUMPRODUCT(($A$7:$A$26=1)*($D$7:$D$26)*(AI7:AI26))</f>
        <v/>
      </c>
      <c r="AL32" s="10" t="inlineStr">
        <is>
          <t>Bad happened</t>
        </is>
      </c>
      <c r="AM32" s="25">
        <f>SUMPRODUCT(($E$6:$AI$6&lt;=$B$3)*(E31:AI31))</f>
        <v/>
      </c>
    </row>
    <row r="33">
      <c r="A33" s="8" t="inlineStr">
        <is>
          <t>Completion % (Good only)</t>
        </is>
      </c>
      <c r="E33" s="26">
        <f>IF(SUMPRODUCT(($A$7:$A$26=1)*($C$7:$C$26="Good"))=0,"",SUMPRODUCT(($A$7:$A$26=1)*($C$7:$C$26="Good")*(E7:E26))/SUMPRODUCT(($A$7:$A$26=1)*($C$7:$C$26="Good")))</f>
        <v/>
      </c>
      <c r="F33" s="26">
        <f>IF(SUMPRODUCT(($A$7:$A$26=1)*($C$7:$C$26="Good"))=0,"",SUMPRODUCT(($A$7:$A$26=1)*($C$7:$C$26="Good")*(F7:F26))/SUMPRODUCT(($A$7:$A$26=1)*($C$7:$C$26="Good")))</f>
        <v/>
      </c>
      <c r="G33" s="26">
        <f>IF(SUMPRODUCT(($A$7:$A$26=1)*($C$7:$C$26="Good"))=0,"",SUMPRODUCT(($A$7:$A$26=1)*($C$7:$C$26="Good")*(G7:G26))/SUMPRODUCT(($A$7:$A$26=1)*($C$7:$C$26="Good")))</f>
        <v/>
      </c>
      <c r="H33" s="26">
        <f>IF(SUMPRODUCT(($A$7:$A$26=1)*($C$7:$C$26="Good"))=0,"",SUMPRODUCT(($A$7:$A$26=1)*($C$7:$C$26="Good")*(H7:H26))/SUMPRODUCT(($A$7:$A$26=1)*($C$7:$C$26="Good")))</f>
        <v/>
      </c>
      <c r="I33" s="26">
        <f>IF(SUMPRODUCT(($A$7:$A$26=1)*($C$7:$C$26="Good"))=0,"",SUMPRODUCT(($A$7:$A$26=1)*($C$7:$C$26="Good")*(I7:I26))/SUMPRODUCT(($A$7:$A$26=1)*($C$7:$C$26="Good")))</f>
        <v/>
      </c>
      <c r="J33" s="26">
        <f>IF(SUMPRODUCT(($A$7:$A$26=1)*($C$7:$C$26="Good"))=0,"",SUMPRODUCT(($A$7:$A$26=1)*($C$7:$C$26="Good")*(J7:J26))/SUMPRODUCT(($A$7:$A$26=1)*($C$7:$C$26="Good")))</f>
        <v/>
      </c>
      <c r="K33" s="26">
        <f>IF(SUMPRODUCT(($A$7:$A$26=1)*($C$7:$C$26="Good"))=0,"",SUMPRODUCT(($A$7:$A$26=1)*($C$7:$C$26="Good")*(K7:K26))/SUMPRODUCT(($A$7:$A$26=1)*($C$7:$C$26="Good")))</f>
        <v/>
      </c>
      <c r="L33" s="26">
        <f>IF(SUMPRODUCT(($A$7:$A$26=1)*($C$7:$C$26="Good"))=0,"",SUMPRODUCT(($A$7:$A$26=1)*($C$7:$C$26="Good")*(L7:L26))/SUMPRODUCT(($A$7:$A$26=1)*($C$7:$C$26="Good")))</f>
        <v/>
      </c>
      <c r="M33" s="26">
        <f>IF(SUMPRODUCT(($A$7:$A$26=1)*($C$7:$C$26="Good"))=0,"",SUMPRODUCT(($A$7:$A$26=1)*($C$7:$C$26="Good")*(M7:M26))/SUMPRODUCT(($A$7:$A$26=1)*($C$7:$C$26="Good")))</f>
        <v/>
      </c>
      <c r="N33" s="26">
        <f>IF(SUMPRODUCT(($A$7:$A$26=1)*($C$7:$C$26="Good"))=0,"",SUMPRODUCT(($A$7:$A$26=1)*($C$7:$C$26="Good")*(N7:N26))/SUMPRODUCT(($A$7:$A$26=1)*($C$7:$C$26="Good")))</f>
        <v/>
      </c>
      <c r="O33" s="26">
        <f>IF(SUMPRODUCT(($A$7:$A$26=1)*($C$7:$C$26="Good"))=0,"",SUMPRODUCT(($A$7:$A$26=1)*($C$7:$C$26="Good")*(O7:O26))/SUMPRODUCT(($A$7:$A$26=1)*($C$7:$C$26="Good")))</f>
        <v/>
      </c>
      <c r="P33" s="26">
        <f>IF(SUMPRODUCT(($A$7:$A$26=1)*($C$7:$C$26="Good"))=0,"",SUMPRODUCT(($A$7:$A$26=1)*($C$7:$C$26="Good")*(P7:P26))/SUMPRODUCT(($A$7:$A$26=1)*($C$7:$C$26="Good")))</f>
        <v/>
      </c>
      <c r="Q33" s="26">
        <f>IF(SUMPRODUCT(($A$7:$A$26=1)*($C$7:$C$26="Good"))=0,"",SUMPRODUCT(($A$7:$A$26=1)*($C$7:$C$26="Good")*(Q7:Q26))/SUMPRODUCT(($A$7:$A$26=1)*($C$7:$C$26="Good")))</f>
        <v/>
      </c>
      <c r="R33" s="26">
        <f>IF(SUMPRODUCT(($A$7:$A$26=1)*($C$7:$C$26="Good"))=0,"",SUMPRODUCT(($A$7:$A$26=1)*($C$7:$C$26="Good")*(R7:R26))/SUMPRODUCT(($A$7:$A$26=1)*($C$7:$C$26="Good")))</f>
        <v/>
      </c>
      <c r="S33" s="26">
        <f>IF(SUMPRODUCT(($A$7:$A$26=1)*($C$7:$C$26="Good"))=0,"",SUMPRODUCT(($A$7:$A$26=1)*($C$7:$C$26="Good")*(S7:S26))/SUMPRODUCT(($A$7:$A$26=1)*($C$7:$C$26="Good")))</f>
        <v/>
      </c>
      <c r="T33" s="26">
        <f>IF(SUMPRODUCT(($A$7:$A$26=1)*($C$7:$C$26="Good"))=0,"",SUMPRODUCT(($A$7:$A$26=1)*($C$7:$C$26="Good")*(T7:T26))/SUMPRODUCT(($A$7:$A$26=1)*($C$7:$C$26="Good")))</f>
        <v/>
      </c>
      <c r="U33" s="26">
        <f>IF(SUMPRODUCT(($A$7:$A$26=1)*($C$7:$C$26="Good"))=0,"",SUMPRODUCT(($A$7:$A$26=1)*($C$7:$C$26="Good")*(U7:U26))/SUMPRODUCT(($A$7:$A$26=1)*($C$7:$C$26="Good")))</f>
        <v/>
      </c>
      <c r="V33" s="26">
        <f>IF(SUMPRODUCT(($A$7:$A$26=1)*($C$7:$C$26="Good"))=0,"",SUMPRODUCT(($A$7:$A$26=1)*($C$7:$C$26="Good")*(V7:V26))/SUMPRODUCT(($A$7:$A$26=1)*($C$7:$C$26="Good")))</f>
        <v/>
      </c>
      <c r="W33" s="26">
        <f>IF(SUMPRODUCT(($A$7:$A$26=1)*($C$7:$C$26="Good"))=0,"",SUMPRODUCT(($A$7:$A$26=1)*($C$7:$C$26="Good")*(W7:W26))/SUMPRODUCT(($A$7:$A$26=1)*($C$7:$C$26="Good")))</f>
        <v/>
      </c>
      <c r="X33" s="26">
        <f>IF(SUMPRODUCT(($A$7:$A$26=1)*($C$7:$C$26="Good"))=0,"",SUMPRODUCT(($A$7:$A$26=1)*($C$7:$C$26="Good")*(X7:X26))/SUMPRODUCT(($A$7:$A$26=1)*($C$7:$C$26="Good")))</f>
        <v/>
      </c>
      <c r="Y33" s="26">
        <f>IF(SUMPRODUCT(($A$7:$A$26=1)*($C$7:$C$26="Good"))=0,"",SUMPRODUCT(($A$7:$A$26=1)*($C$7:$C$26="Good")*(Y7:Y26))/SUMPRODUCT(($A$7:$A$26=1)*($C$7:$C$26="Good")))</f>
        <v/>
      </c>
      <c r="Z33" s="26">
        <f>IF(SUMPRODUCT(($A$7:$A$26=1)*($C$7:$C$26="Good"))=0,"",SUMPRODUCT(($A$7:$A$26=1)*($C$7:$C$26="Good")*(Z7:Z26))/SUMPRODUCT(($A$7:$A$26=1)*($C$7:$C$26="Good")))</f>
        <v/>
      </c>
      <c r="AA33" s="26">
        <f>IF(SUMPRODUCT(($A$7:$A$26=1)*($C$7:$C$26="Good"))=0,"",SUMPRODUCT(($A$7:$A$26=1)*($C$7:$C$26="Good")*(AA7:AA26))/SUMPRODUCT(($A$7:$A$26=1)*($C$7:$C$26="Good")))</f>
        <v/>
      </c>
      <c r="AB33" s="26">
        <f>IF(SUMPRODUCT(($A$7:$A$26=1)*($C$7:$C$26="Good"))=0,"",SUMPRODUCT(($A$7:$A$26=1)*($C$7:$C$26="Good")*(AB7:AB26))/SUMPRODUCT(($A$7:$A$26=1)*($C$7:$C$26="Good")))</f>
        <v/>
      </c>
      <c r="AC33" s="26">
        <f>IF(SUMPRODUCT(($A$7:$A$26=1)*($C$7:$C$26="Good"))=0,"",SUMPRODUCT(($A$7:$A$26=1)*($C$7:$C$26="Good")*(AC7:AC26))/SUMPRODUCT(($A$7:$A$26=1)*($C$7:$C$26="Good")))</f>
        <v/>
      </c>
      <c r="AD33" s="26">
        <f>IF(SUMPRODUCT(($A$7:$A$26=1)*($C$7:$C$26="Good"))=0,"",SUMPRODUCT(($A$7:$A$26=1)*($C$7:$C$26="Good")*(AD7:AD26))/SUMPRODUCT(($A$7:$A$26=1)*($C$7:$C$26="Good")))</f>
        <v/>
      </c>
      <c r="AE33" s="26">
        <f>IF(SUMPRODUCT(($A$7:$A$26=1)*($C$7:$C$26="Good"))=0,"",SUMPRODUCT(($A$7:$A$26=1)*($C$7:$C$26="Good")*(AE7:AE26))/SUMPRODUCT(($A$7:$A$26=1)*($C$7:$C$26="Good")))</f>
        <v/>
      </c>
      <c r="AF33" s="26">
        <f>IF(SUMPRODUCT(($A$7:$A$26=1)*($C$7:$C$26="Good"))=0,"",SUMPRODUCT(($A$7:$A$26=1)*($C$7:$C$26="Good")*(AF7:AF26))/SUMPRODUCT(($A$7:$A$26=1)*($C$7:$C$26="Good")))</f>
        <v/>
      </c>
      <c r="AG33" s="26">
        <f>IF(SUMPRODUCT(($A$7:$A$26=1)*($C$7:$C$26="Good"))=0,"",SUMPRODUCT(($A$7:$A$26=1)*($C$7:$C$26="Good")*(AG7:AG26))/SUMPRODUCT(($A$7:$A$26=1)*($C$7:$C$26="Good")))</f>
        <v/>
      </c>
      <c r="AH33" s="26">
        <f>IF(SUMPRODUCT(($A$7:$A$26=1)*($C$7:$C$26="Good"))=0,"",SUMPRODUCT(($A$7:$A$26=1)*($C$7:$C$26="Good")*(AH7:AH26))/SUMPRODUCT(($A$7:$A$26=1)*($C$7:$C$26="Good")))</f>
        <v/>
      </c>
      <c r="AI33" s="26">
        <f>IF(SUMPRODUCT(($A$7:$A$26=1)*($C$7:$C$26="Good"))=0,"",SUMPRODUCT(($A$7:$A$26=1)*($C$7:$C$26="Good")*(AI7:AI26))/SUMPRODUCT(($A$7:$A$26=1)*($C$7:$C$26="Good")))</f>
        <v/>
      </c>
      <c r="AL33" s="10" t="inlineStr">
        <is>
          <t>Net score</t>
        </is>
      </c>
      <c r="AM33" s="25">
        <f>SUMPRODUCT(($E$6:$AI$6&lt;=$B$3)*(E32:AI32))</f>
        <v/>
      </c>
    </row>
    <row r="34">
      <c r="AL34" s="10" t="inlineStr">
        <is>
          <t>Avg completion (Good)</t>
        </is>
      </c>
      <c r="AM34" s="27">
        <f>AVERAGEIF($E$6:$AI$6,"&lt;="&amp;$B$3,E33:AI33)</f>
        <v/>
      </c>
    </row>
  </sheetData>
  <mergeCells count="6">
    <mergeCell ref="A31:D31"/>
    <mergeCell ref="A1:AI1"/>
    <mergeCell ref="A30:D30"/>
    <mergeCell ref="A29:D29"/>
    <mergeCell ref="A33:D33"/>
    <mergeCell ref="A32:D32"/>
  </mergeCells>
  <conditionalFormatting sqref="E7:AI26">
    <cfRule type="expression" priority="1" dxfId="0">
      <formula>E7=1</formula>
    </cfRule>
  </conditionalFormatting>
  <conditionalFormatting sqref="E5:E33">
    <cfRule type="expression" priority="2" dxfId="1">
      <formula>E$6&gt;$B$3</formula>
    </cfRule>
  </conditionalFormatting>
  <conditionalFormatting sqref="F5:F33">
    <cfRule type="expression" priority="3" dxfId="1">
      <formula>F$6&gt;$B$3</formula>
    </cfRule>
  </conditionalFormatting>
  <conditionalFormatting sqref="G5:G33">
    <cfRule type="expression" priority="4" dxfId="1">
      <formula>G$6&gt;$B$3</formula>
    </cfRule>
  </conditionalFormatting>
  <conditionalFormatting sqref="H5:H33">
    <cfRule type="expression" priority="5" dxfId="1">
      <formula>H$6&gt;$B$3</formula>
    </cfRule>
  </conditionalFormatting>
  <conditionalFormatting sqref="I5:I33">
    <cfRule type="expression" priority="6" dxfId="1">
      <formula>I$6&gt;$B$3</formula>
    </cfRule>
  </conditionalFormatting>
  <conditionalFormatting sqref="J5:J33">
    <cfRule type="expression" priority="7" dxfId="1">
      <formula>J$6&gt;$B$3</formula>
    </cfRule>
  </conditionalFormatting>
  <conditionalFormatting sqref="K5:K33">
    <cfRule type="expression" priority="8" dxfId="1">
      <formula>K$6&gt;$B$3</formula>
    </cfRule>
  </conditionalFormatting>
  <conditionalFormatting sqref="L5:L33">
    <cfRule type="expression" priority="9" dxfId="1">
      <formula>L$6&gt;$B$3</formula>
    </cfRule>
  </conditionalFormatting>
  <conditionalFormatting sqref="M5:M33">
    <cfRule type="expression" priority="10" dxfId="1">
      <formula>M$6&gt;$B$3</formula>
    </cfRule>
  </conditionalFormatting>
  <conditionalFormatting sqref="N5:N33">
    <cfRule type="expression" priority="11" dxfId="1">
      <formula>N$6&gt;$B$3</formula>
    </cfRule>
  </conditionalFormatting>
  <conditionalFormatting sqref="O5:O33">
    <cfRule type="expression" priority="12" dxfId="1">
      <formula>O$6&gt;$B$3</formula>
    </cfRule>
  </conditionalFormatting>
  <conditionalFormatting sqref="P5:P33">
    <cfRule type="expression" priority="13" dxfId="1">
      <formula>P$6&gt;$B$3</formula>
    </cfRule>
  </conditionalFormatting>
  <conditionalFormatting sqref="Q5:Q33">
    <cfRule type="expression" priority="14" dxfId="1">
      <formula>Q$6&gt;$B$3</formula>
    </cfRule>
  </conditionalFormatting>
  <conditionalFormatting sqref="R5:R33">
    <cfRule type="expression" priority="15" dxfId="1">
      <formula>R$6&gt;$B$3</formula>
    </cfRule>
  </conditionalFormatting>
  <conditionalFormatting sqref="S5:S33">
    <cfRule type="expression" priority="16" dxfId="1">
      <formula>S$6&gt;$B$3</formula>
    </cfRule>
  </conditionalFormatting>
  <conditionalFormatting sqref="T5:T33">
    <cfRule type="expression" priority="17" dxfId="1">
      <formula>T$6&gt;$B$3</formula>
    </cfRule>
  </conditionalFormatting>
  <conditionalFormatting sqref="U5:U33">
    <cfRule type="expression" priority="18" dxfId="1">
      <formula>U$6&gt;$B$3</formula>
    </cfRule>
  </conditionalFormatting>
  <conditionalFormatting sqref="V5:V33">
    <cfRule type="expression" priority="19" dxfId="1">
      <formula>V$6&gt;$B$3</formula>
    </cfRule>
  </conditionalFormatting>
  <conditionalFormatting sqref="W5:W33">
    <cfRule type="expression" priority="20" dxfId="1">
      <formula>W$6&gt;$B$3</formula>
    </cfRule>
  </conditionalFormatting>
  <conditionalFormatting sqref="X5:X33">
    <cfRule type="expression" priority="21" dxfId="1">
      <formula>X$6&gt;$B$3</formula>
    </cfRule>
  </conditionalFormatting>
  <conditionalFormatting sqref="Y5:Y33">
    <cfRule type="expression" priority="22" dxfId="1">
      <formula>Y$6&gt;$B$3</formula>
    </cfRule>
  </conditionalFormatting>
  <conditionalFormatting sqref="Z5:Z33">
    <cfRule type="expression" priority="23" dxfId="1">
      <formula>Z$6&gt;$B$3</formula>
    </cfRule>
  </conditionalFormatting>
  <conditionalFormatting sqref="AA5:AA33">
    <cfRule type="expression" priority="24" dxfId="1">
      <formula>AA$6&gt;$B$3</formula>
    </cfRule>
  </conditionalFormatting>
  <conditionalFormatting sqref="AB5:AB33">
    <cfRule type="expression" priority="25" dxfId="1">
      <formula>AB$6&gt;$B$3</formula>
    </cfRule>
  </conditionalFormatting>
  <conditionalFormatting sqref="AC5:AC33">
    <cfRule type="expression" priority="26" dxfId="1">
      <formula>AC$6&gt;$B$3</formula>
    </cfRule>
  </conditionalFormatting>
  <conditionalFormatting sqref="AD5:AD33">
    <cfRule type="expression" priority="27" dxfId="1">
      <formula>AD$6&gt;$B$3</formula>
    </cfRule>
  </conditionalFormatting>
  <conditionalFormatting sqref="AE5:AE33">
    <cfRule type="expression" priority="28" dxfId="1">
      <formula>AE$6&gt;$B$3</formula>
    </cfRule>
  </conditionalFormatting>
  <conditionalFormatting sqref="AF5:AF33">
    <cfRule type="expression" priority="29" dxfId="1">
      <formula>AF$6&gt;$B$3</formula>
    </cfRule>
  </conditionalFormatting>
  <conditionalFormatting sqref="AG5:AG33">
    <cfRule type="expression" priority="30" dxfId="1">
      <formula>AG$6&gt;$B$3</formula>
    </cfRule>
  </conditionalFormatting>
  <conditionalFormatting sqref="AH5:AH33">
    <cfRule type="expression" priority="31" dxfId="1">
      <formula>AH$6&gt;$B$3</formula>
    </cfRule>
  </conditionalFormatting>
  <conditionalFormatting sqref="AI5:AI33">
    <cfRule type="expression" priority="32" dxfId="1">
      <formula>AI$6&gt;$B$3</formula>
    </cfRule>
  </conditionalFormatting>
  <dataValidations count="1">
    <dataValidation sqref="E7 E8 E9 E10 E11 E12 E13 E14 E15 E16 E17 E18 E19 E20 E21 E22 E23 E24 E25 E26 F7 F8 F9 F10 F11 F12 F13 F14 F15 F16 F17 F18 F19 F20 F21 F22 F23 F24 F25 F26 G7 G8 G9 G10 G11 G12 G13 G14 G15 G16 G17 G18 G19 G20 G21 G22 G23 G24 G25 G26 H7 H8 H9 H10 H11 H12 H13 H14 H15 H16 H17 H18 H19 H20 H21 H22 H23 H24 H25 H26 I7 I8 I9 I10 I11 I12 I13 I14 I15 I16 I17 I18 I19 I20 I21 I22 I23 I24 I25 I26 J7 J8 J9 J10 J11 J12 J13 J14 J15 J16 J17 J18 J19 J20 J21 J22 J23 J24 J25 J26 K7 K8 K9 K10 K11 K12 K13 K14 K15 K16 K17 K18 K19 K20 K21 K22 K23 K24 K25 K26 L7 L8 L9 L10 L11 L12 L13 L14 L15 L16 L17 L18 L19 L20 L21 L22 L23 L24 L25 L26 M7 M8 M9 M10 M11 M12 M13 M14 M15 M16 M17 M18 M19 M20 M21 M22 M23 M24 M25 M26 N7 N8 N9 N10 N11 N12 N13 N14 N15 N16 N17 N18 N19 N20 N21 N22 N23 N24 N25 N26 O7 O8 O9 O10 O11 O12 O13 O14 O15 O16 O17 O18 O19 O20 O21 O22 O23 O24 O25 O26 P7 P8 P9 P10 P11 P12 P13 P14 P15 P16 P17 P18 P19 P20 P21 P22 P23 P24 P25 P26 Q7 Q8 Q9 Q10 Q11 Q12 Q13 Q14 Q15 Q16 Q17 Q18 Q19 Q20 Q21 Q22 Q23 Q24 Q25 Q26 R7 R8 R9 R10 R11 R12 R13 R14 R15 R16 R17 R18 R19 R20 R21 R22 R23 R24 R25 R26 S7 S8 S9 S10 S11 S12 S13 S14 S15 S16 S17 S18 S19 S20 S21 S22 S23 S24 S25 S26 T7 T8 T9 T10 T11 T12 T13 T14 T15 T16 T17 T18 T19 T20 T21 T22 T23 T24 T25 T26 U7 U8 U9 U10 U11 U12 U13 U14 U15 U16 U17 U18 U19 U20 U21 U22 U23 U24 U25 U26 V7 V8 V9 V10 V11 V12 V13 V14 V15 V16 V17 V18 V19 V20 V21 V22 V23 V24 V25 V26 W7 W8 W9 W10 W11 W12 W13 W14 W15 W16 W17 W18 W19 W20 W21 W22 W23 W24 W25 W26 X7 X8 X9 X10 X11 X12 X13 X14 X15 X16 X17 X18 X19 X20 X21 X22 X23 X24 X25 X26 Y7 Y8 Y9 Y10 Y11 Y12 Y13 Y14 Y15 Y16 Y17 Y18 Y19 Y20 Y21 Y22 Y23 Y24 Y25 Y26 Z7 Z8 Z9 Z10 Z11 Z12 Z13 Z14 Z15 Z16 Z17 Z18 Z19 Z20 Z21 Z22 Z23 Z24 Z25 Z26 AA7 AA8 AA9 AA10 AA11 AA12 AA13 AA14 AA15 AA16 AA17 AA18 AA19 AA20 AA21 AA22 AA23 AA24 AA25 AA26 AB7 AB8 AB9 AB10 AB11 AB12 AB13 AB14 AB15 AB16 AB17 AB18 AB19 AB20 AB21 AB22 AB23 AB24 AB25 AB26 AC7 AC8 AC9 AC10 AC11 AC12 AC13 AC14 AC15 AC16 AC17 AC18 AC19 AC20 AC21 AC22 AC23 AC24 AC25 AC26 AD7 AD8 AD9 AD10 AD11 AD12 AD13 AD14 AD15 AD16 AD17 AD18 AD19 AD20 AD21 AD22 AD23 AD24 AD25 AD26 AE7 AE8 AE9 AE10 AE11 AE12 AE13 AE14 AE15 AE16 AE17 AE18 AE19 AE20 AE21 AE22 AE23 AE24 AE25 AE26 AF7 AF8 AF9 AF10 AF11 AF12 AF13 AF14 AF15 AF16 AF17 AF18 AF19 AF20 AF21 AF22 AF23 AF24 AF25 AF26 AG7 AG8 AG9 AG10 AG11 AG12 AG13 AG14 AG15 AG16 AG17 AG18 AG19 AG20 AG21 AG22 AG23 AG24 AG25 AG26 AH7 AH8 AH9 AH10 AH11 AH12 AH13 AH14 AH15 AH16 AH17 AH18 AH19 AH20 AH21 AH22 AH23 AH24 AH25 AH26 AI7 AI8 AI9 AI10 AI11 AI12 AI13 AI14 AI15 AI16 AI17 AI18 AI19 AI20 AI21 AI22 AI23 AI24 AI25 AI26" showDropDown="0" showInputMessage="0" showErrorMessage="0" allowBlank="1" type="list">
      <formula1>"0,1"</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2026-02-27T18:17:51Z</dcterms:created>
  <dcterms:modified xmlns:dcterms="http://purl.org/dc/terms/" xmlns:xsi="http://www.w3.org/2001/XMLSchema-instance" xsi:type="dcterms:W3CDTF">2026-02-27T18:17:52Z</dcterms:modified>
</cp:coreProperties>
</file>